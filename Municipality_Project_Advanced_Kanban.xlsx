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Kanban Board" state="visible" r:id="rId5"/>
    <sheet sheetId="3" name="Sprint 0" state="visible" r:id="rId6"/>
    <sheet sheetId="4" name="Day 1" state="visible" r:id="rId7"/>
    <sheet sheetId="5" name="Day 2" state="visible" r:id="rId8"/>
    <sheet sheetId="6" name="Day 3" state="visible" r:id="rId9"/>
    <sheet sheetId="7" name="Day 4" state="visible" r:id="rId10"/>
    <sheet sheetId="8" name="Day 5" state="visible" r:id="rId11"/>
    <sheet sheetId="9" name="Day 6" state="visible" r:id="rId12"/>
    <sheet sheetId="10" name="Day 7" state="visible" r:id="rId13"/>
    <sheet sheetId="11" name="Backend Tasks" state="visible" r:id="rId14"/>
    <sheet sheetId="12" name="Frontend Tasks" state="visible" r:id="rId15"/>
    <sheet sheetId="13" name="Database Tasks" state="visible" r:id="rId16"/>
    <sheet sheetId="14" name="AI Tasks" state="visible" r:id="rId17"/>
    <sheet sheetId="15" name="Face Recognition Tasks" state="visible" r:id="rId18"/>
    <sheet sheetId="16" name="Documentation &amp; QA Tasks" state="visible" r:id="rId19"/>
    <sheet sheetId="17" name="Infrastructure Tasks" state="visible" r:id="rId20"/>
    <sheet sheetId="18" name="Integration Tracker" state="visible" r:id="rId21"/>
    <sheet sheetId="19" name="Bug Tracker" state="visible" r:id="rId22"/>
    <sheet sheetId="20" name="Security Checklist" state="visible" r:id="rId23"/>
    <sheet sheetId="21" name="Daily Standup" state="visible" r:id="rId24"/>
    <sheet sheetId="22" name="Team Workload" state="visible" r:id="rId25"/>
    <sheet sheetId="23" name="Dependency Tracker" state="visible" r:id="rId26"/>
    <sheet sheetId="24" name="Deployment Checklist" state="visible" r:id="rId27"/>
    <sheet sheetId="25" name="Risks &amp; Blockers" state="visible" r:id="rId28"/>
    <sheet sheetId="26" name="Final Handover Checklist" state="visible" r:id="rId29"/>
  </sheets>
  <calcPr calcId="171027"/>
</workbook>
</file>

<file path=xl/sharedStrings.xml><?xml version="1.0" encoding="utf-8"?>
<sst xmlns="http://schemas.openxmlformats.org/spreadsheetml/2006/main" count="1771" uniqueCount="516">
  <si>
    <t>AI-Powered Smart Municipal Citizen Assistance &amp; Staff Attendance Management System - Executive Dashboard</t>
  </si>
  <si>
    <t>Overall Completion %</t>
  </si>
  <si>
    <t>Blocked Tasks</t>
  </si>
  <si>
    <t>Critical Issues Open</t>
  </si>
  <si>
    <t>Open Bugs</t>
  </si>
  <si>
    <t>Security Checklist %</t>
  </si>
  <si>
    <t>Deployment Readiness %</t>
  </si>
  <si>
    <t>Team Workload &amp; Progress Summary</t>
  </si>
  <si>
    <t>Module Development Status</t>
  </si>
  <si>
    <t>Day-Wise Progress Timeline</t>
  </si>
  <si>
    <t>Team Member</t>
  </si>
  <si>
    <t>Assigned Tasks</t>
  </si>
  <si>
    <t>Completed</t>
  </si>
  <si>
    <t>Pending</t>
  </si>
  <si>
    <t>Blocked</t>
  </si>
  <si>
    <t>Completion %</t>
  </si>
  <si>
    <t>Module Name</t>
  </si>
  <si>
    <t>Total Tasks</t>
  </si>
  <si>
    <t>Day</t>
  </si>
  <si>
    <t>Minha Palakkathodi</t>
  </si>
  <si>
    <t>Backend</t>
  </si>
  <si>
    <t>Sprint 0</t>
  </si>
  <si>
    <t>Adithyan N</t>
  </si>
  <si>
    <t>Frontend</t>
  </si>
  <si>
    <t>Day 1</t>
  </si>
  <si>
    <t>Fathima Hana</t>
  </si>
  <si>
    <t>Database</t>
  </si>
  <si>
    <t>Day 2</t>
  </si>
  <si>
    <t>Muhammad Sanish</t>
  </si>
  <si>
    <t>AI</t>
  </si>
  <si>
    <t>Day 3</t>
  </si>
  <si>
    <t>Fadi Ahmed</t>
  </si>
  <si>
    <t>Face Recognition</t>
  </si>
  <si>
    <t>Day 4</t>
  </si>
  <si>
    <t>Muhammed Sadik KT</t>
  </si>
  <si>
    <t>Documentation &amp; QA</t>
  </si>
  <si>
    <t>Day 5</t>
  </si>
  <si>
    <t>Infrastructure</t>
  </si>
  <si>
    <t>Day 6</t>
  </si>
  <si>
    <t>Task ID</t>
  </si>
  <si>
    <t>Module</t>
  </si>
  <si>
    <t>Task Name</t>
  </si>
  <si>
    <t>Assigned To</t>
  </si>
  <si>
    <t>Priority</t>
  </si>
  <si>
    <t>Status</t>
  </si>
  <si>
    <t>Progress %</t>
  </si>
  <si>
    <t>Due Day</t>
  </si>
  <si>
    <t>Dependency</t>
  </si>
  <si>
    <t>Testing Status</t>
  </si>
  <si>
    <t>Security Status</t>
  </si>
  <si>
    <t>Remarks</t>
  </si>
  <si>
    <t>Day 7</t>
  </si>
  <si>
    <t>TASK-INF-001</t>
  </si>
  <si>
    <t>MongoDB Atlas Setup</t>
  </si>
  <si>
    <t>Critical</t>
  </si>
  <si>
    <t>None</t>
  </si>
  <si>
    <t>Admin controls configured and database connection verified</t>
  </si>
  <si>
    <t>TASK-INF-002</t>
  </si>
  <si>
    <t>Environment Configuration</t>
  </si>
  <si>
    <t>High</t>
  </si>
  <si>
    <t>No secrets committed, configuration structure validated</t>
  </si>
  <si>
    <t>TASK-INF-003</t>
  </si>
  <si>
    <t>Logging Infrastructure Setup</t>
  </si>
  <si>
    <t>Medium</t>
  </si>
  <si>
    <t>Sensitive data redacted in Winston streams</t>
  </si>
  <si>
    <t>TASK-INF-004</t>
  </si>
  <si>
    <t>Deployment Environment Preparation</t>
  </si>
  <si>
    <t>Not Started</t>
  </si>
  <si>
    <t>Deployment scripts drafted, hosting environments initialized</t>
  </si>
  <si>
    <t>TASK-FE-001</t>
  </si>
  <si>
    <t>React Setup</t>
  </si>
  <si>
    <t>Vite React scaffolded with standard directory layout</t>
  </si>
  <si>
    <t>TASK-FE-002</t>
  </si>
  <si>
    <t>Tailwind Setup</t>
  </si>
  <si>
    <t>Tailwind configuration, colors, and typography set up</t>
  </si>
  <si>
    <t>TASK-FE-003</t>
  </si>
  <si>
    <t>Routing</t>
  </si>
  <si>
    <t>Browser router routes setup, layout routes configured</t>
  </si>
  <si>
    <t>TASK-FE-004</t>
  </si>
  <si>
    <t>Protected Routes</t>
  </si>
  <si>
    <t>Client RBAC guard integrated with token decoder</t>
  </si>
  <si>
    <t>TASK-FE-005</t>
  </si>
  <si>
    <t>Axios Setup</t>
  </si>
  <si>
    <t>JWT interceptor setup, retry limits configured</t>
  </si>
  <si>
    <t>TASK-FE-006</t>
  </si>
  <si>
    <t>Authentication UI</t>
  </si>
  <si>
    <t>Secure cookie setup and form validations active</t>
  </si>
  <si>
    <t>TASK-FE-007</t>
  </si>
  <si>
    <t>Citizen Dashboard</t>
  </si>
  <si>
    <t>Overview console with responsive metrics cards active</t>
  </si>
  <si>
    <t>TASK-FE-008</t>
  </si>
  <si>
    <t>Complaint UI</t>
  </si>
  <si>
    <t>In Progress</t>
  </si>
  <si>
    <t>Input sanitizations in progress, UI layout complete</t>
  </si>
  <si>
    <t>TASK-FE-009</t>
  </si>
  <si>
    <t>File Tracking UI</t>
  </si>
  <si>
    <t>Timeline progress bar rendering in progress</t>
  </si>
  <si>
    <t>TASK-FE-010</t>
  </si>
  <si>
    <t>Feedback UI</t>
  </si>
  <si>
    <t>Satisfaction ratings form mockup completed</t>
  </si>
  <si>
    <t>TASK-FE-011</t>
  </si>
  <si>
    <t>Staff Dashboard UI</t>
  </si>
  <si>
    <t>Employee operations view blueprint set</t>
  </si>
  <si>
    <t>TASK-FE-012</t>
  </si>
  <si>
    <t>Attendance UI</t>
  </si>
  <si>
    <t>Liveness scan layout mock complete</t>
  </si>
  <si>
    <t>TASK-FE-013</t>
  </si>
  <si>
    <t>Chatbot UI</t>
  </si>
  <si>
    <t>Gemini chat console overlay designed</t>
  </si>
  <si>
    <t>TASK-FE-014</t>
  </si>
  <si>
    <t>Admin Dashboard</t>
  </si>
  <si>
    <t>Audit logs reviewer views prepared</t>
  </si>
  <si>
    <t>TASK-FE-015</t>
  </si>
  <si>
    <t>Notifications UI</t>
  </si>
  <si>
    <t>Dynamic web toasts configuration ready</t>
  </si>
  <si>
    <t>TASK-FE-016</t>
  </si>
  <si>
    <t>Responsive Fixes</t>
  </si>
  <si>
    <t>Mobile views checking strategy defined</t>
  </si>
  <si>
    <t>TASK-FE-017</t>
  </si>
  <si>
    <t>Integration</t>
  </si>
  <si>
    <t>All endpoints integration mapping checklist</t>
  </si>
  <si>
    <t>TASK-FE-018</t>
  </si>
  <si>
    <t>Final UI Testing</t>
  </si>
  <si>
    <t>QA Visual signoff template configured</t>
  </si>
  <si>
    <t>TASK-BE-001</t>
  </si>
  <si>
    <t>Express Setup</t>
  </si>
  <si>
    <t>Winston logger active and CORS rules applied</t>
  </si>
  <si>
    <t>TASK-BE-002</t>
  </si>
  <si>
    <t>JWT Authentication</t>
  </si>
  <si>
    <t>Bcrypt hashed passwords verified on register</t>
  </si>
  <si>
    <t>TASK-BE-003</t>
  </si>
  <si>
    <t>RBAC</t>
  </si>
  <si>
    <t>Token payload checks for Citizen, Staff, Admin active</t>
  </si>
  <si>
    <t>TASK-BE-004</t>
  </si>
  <si>
    <t>Complaint APIs</t>
  </si>
  <si>
    <t>Review</t>
  </si>
  <si>
    <t>Transaction logs active, code complete, undergoing review</t>
  </si>
  <si>
    <t>TASK-BE-005</t>
  </si>
  <si>
    <t>File Tracking APIs</t>
  </si>
  <si>
    <t>Escaped tracking strings active, under API review</t>
  </si>
  <si>
    <t>TASK-BE-006</t>
  </si>
  <si>
    <t>Attendance APIs</t>
  </si>
  <si>
    <t>Secure verification punches adapter specifications ready</t>
  </si>
  <si>
    <t>TASK-BE-007</t>
  </si>
  <si>
    <t>Feedback APIs</t>
  </si>
  <si>
    <t>Complaints lock logic active draft</t>
  </si>
  <si>
    <t>TASK-BE-008</t>
  </si>
  <si>
    <t>Admin APIs</t>
  </si>
  <si>
    <t>Admin RBAC validation middlewares declared</t>
  </si>
  <si>
    <t>TASK-BE-009</t>
  </si>
  <si>
    <t>Audit Logging</t>
  </si>
  <si>
    <t>Log write validations schema prepared</t>
  </si>
  <si>
    <t>TASK-BE-010</t>
  </si>
  <si>
    <t>Middleware</t>
  </si>
  <si>
    <t>Standard middlewares pipeline mapped</t>
  </si>
  <si>
    <t>TASK-BE-011</t>
  </si>
  <si>
    <t>Security Middleware</t>
  </si>
  <si>
    <t>SameSite token configurations specified</t>
  </si>
  <si>
    <t>TASK-DB-001</t>
  </si>
  <si>
    <t>Core Schema Creation</t>
  </si>
  <si>
    <t>Support: Adithyan N. Constraints loaded and DB connection active</t>
  </si>
  <si>
    <t>TASK-DB-002</t>
  </si>
  <si>
    <t>Mongoose Models</t>
  </si>
  <si>
    <t>Support: Adithyan N. Unique key bounds and validators active</t>
  </si>
  <si>
    <t>TASK-DB-003</t>
  </si>
  <si>
    <t>Relationships</t>
  </si>
  <si>
    <t>Support: Adithyan N. Model referencing setup and verified</t>
  </si>
  <si>
    <t>TASK-DB-004</t>
  </si>
  <si>
    <t>Indexing</t>
  </si>
  <si>
    <t>Support: Adithyan N. Indexes configured, query execution fast</t>
  </si>
  <si>
    <t>TASK-DB-005</t>
  </si>
  <si>
    <t>Validation</t>
  </si>
  <si>
    <t>Support: Adithyan N. Format checks drafted</t>
  </si>
  <si>
    <t>TASK-DB-006</t>
  </si>
  <si>
    <t>Query Optimization</t>
  </si>
  <si>
    <t>Support: Adithyan N. Query optimization strategy defined</t>
  </si>
  <si>
    <t>TASK-AI-001</t>
  </si>
  <si>
    <t>Gemini Chatbot</t>
  </si>
  <si>
    <t>RAG context bounds applied</t>
  </si>
  <si>
    <t>TASK-AI-002</t>
  </si>
  <si>
    <t>OCR</t>
  </si>
  <si>
    <t>Secure local storage sandbox specs</t>
  </si>
  <si>
    <t>TASK-AI-003</t>
  </si>
  <si>
    <t>AI APIs</t>
  </si>
  <si>
    <t>Secure credentials configuration detailed</t>
  </si>
  <si>
    <t>TASK-AI-004</t>
  </si>
  <si>
    <t>Prompt Engineering</t>
  </si>
  <si>
    <t>Prompt injection guards drafted</t>
  </si>
  <si>
    <t>TASK-AI-005</t>
  </si>
  <si>
    <t>Face Recognition Core Implementation</t>
  </si>
  <si>
    <t>Volatile RAM comparison model designed</t>
  </si>
  <si>
    <t>TASK-FR-001</t>
  </si>
  <si>
    <t>Dataset Collection</t>
  </si>
  <si>
    <t>Offline template protection standards set</t>
  </si>
  <si>
    <t>TASK-FR-002</t>
  </si>
  <si>
    <t>Prototype Refinement</t>
  </si>
  <si>
    <t>Anti-spoofing test frameworks ready</t>
  </si>
  <si>
    <t>TASK-FR-003</t>
  </si>
  <si>
    <t>Camera Integration Testing</t>
  </si>
  <si>
    <t>Zero frame storage validation script written</t>
  </si>
  <si>
    <t>TASK-FR-004</t>
  </si>
  <si>
    <t>Attendance Workflow Testing</t>
  </si>
  <si>
    <t>Consent constraints gating check template</t>
  </si>
  <si>
    <t>TASK-FR-005</t>
  </si>
  <si>
    <t>Recognition Accuracy Testing</t>
  </si>
  <si>
    <t>Robustness audit report format ready</t>
  </si>
  <si>
    <t>TASK-FR-006</t>
  </si>
  <si>
    <t>Cross-Browser Camera Testing</t>
  </si>
  <si>
    <t>Web permissions tests blueprint</t>
  </si>
  <si>
    <t>TASK-FR-007</t>
  </si>
  <si>
    <t>System Integration Testing</t>
  </si>
  <si>
    <t>RBAC boundary check verified</t>
  </si>
  <si>
    <t>TASK-QA-001</t>
  </si>
  <si>
    <t>Test Cases</t>
  </si>
  <si>
    <t>Validation schedules and manual test logs created</t>
  </si>
  <si>
    <t>TASK-QA-002</t>
  </si>
  <si>
    <t>Traceability Matrix</t>
  </si>
  <si>
    <t>SRS mappings verified and formatted</t>
  </si>
  <si>
    <t>TASK-QA-003</t>
  </si>
  <si>
    <t>QA Reports</t>
  </si>
  <si>
    <t>Sprint review reports templates prepared</t>
  </si>
  <si>
    <t>TASK-QA-004</t>
  </si>
  <si>
    <t>UAT</t>
  </si>
  <si>
    <t>Acceptance signs template setup</t>
  </si>
  <si>
    <t>TASK-QA-005</t>
  </si>
  <si>
    <t>Handover Documentation</t>
  </si>
  <si>
    <t>Official handoff portfolio templates drafted</t>
  </si>
  <si>
    <t>TASK-QA-006</t>
  </si>
  <si>
    <t>Documentation Updates</t>
  </si>
  <si>
    <t>Final directory inventory check template</t>
  </si>
  <si>
    <t>AI-Powered Smart Municipal Kanban Board (Status Flow Tracker)</t>
  </si>
  <si>
    <t>Project Name:</t>
  </si>
  <si>
    <t>Smart Municipal Assistance MVP</t>
  </si>
  <si>
    <t>Enterprise Lead:</t>
  </si>
  <si>
    <t>Adithyan N &amp; PMO Team</t>
  </si>
  <si>
    <t>Target Milestone:</t>
  </si>
  <si>
    <t>1-Week Rapid MVP Release</t>
  </si>
  <si>
    <t>Backlog / Future</t>
  </si>
  <si>
    <t>Under Review</t>
  </si>
  <si>
    <t/>
  </si>
  <si>
    <t>Gantt Timeline Plan - Sprint 0 Schedule &amp; Tasks</t>
  </si>
  <si>
    <t>Deliverable</t>
  </si>
  <si>
    <t>Testing Required</t>
  </si>
  <si>
    <t>Security Check Required</t>
  </si>
  <si>
    <t>Live MongoDB Atlas cluster with restricted access policies</t>
  </si>
  <si>
    <t>Yes</t>
  </si>
  <si>
    <t>.env.example environment configuration template</t>
  </si>
  <si>
    <t>React application project template structure initialized</t>
  </si>
  <si>
    <t>Tailwind CSS utility config and design theme tokens loaded</t>
  </si>
  <si>
    <t>Initial collections setup scripts (14 mandatory schemas)</t>
  </si>
  <si>
    <t>Gantt Timeline Plan - Day 1 Schedule &amp; Tasks</t>
  </si>
  <si>
    <t>Winston/Morgan logger script with data redaction middleware</t>
  </si>
  <si>
    <t>React Router routes paths configuration mappings</t>
  </si>
  <si>
    <t>Route guard elements validation checking tokens</t>
  </si>
  <si>
    <t>Axios client instance configured with auth header interceptors</t>
  </si>
  <si>
    <t>Scaffolded Express app configured with helmet CORS rates filters</t>
  </si>
  <si>
    <t>Mongoose schemas definitions users, complaints, tracking</t>
  </si>
  <si>
    <t>Requirements validation spreadsheet mapping models to routes</t>
  </si>
  <si>
    <t>Gantt Timeline Plan - Day 2 Schedule &amp; Tasks</t>
  </si>
  <si>
    <t>Responsive login, register, and password reset form grids</t>
  </si>
  <si>
    <t>Citizen portal layout display grids with ticket log table</t>
  </si>
  <si>
    <t>Signup, Login, and Session controller routers with tokens</t>
  </si>
  <si>
    <t>Authorization middleware gating api endpoints matching roles</t>
  </si>
  <si>
    <t>Functional test logs templates citizen/staff workflows</t>
  </si>
  <si>
    <t>Gantt Timeline Plan - Day 3 Schedule &amp; Tasks</t>
  </si>
  <si>
    <t>Grievance registration intakes forms with attachment fields</t>
  </si>
  <si>
    <t>Public lookup files status visual progress timelines tracker</t>
  </si>
  <si>
    <t>GET / POST / PUT complaints routers with ownership filters</t>
  </si>
  <si>
    <t>Public tracking API endpoints hiding restricted properties</t>
  </si>
  <si>
    <t>Foreign references configurations between users and complaints</t>
  </si>
  <si>
    <t>Unique indices on user IDs and geospatial tags on complaints</t>
  </si>
  <si>
    <t>Gantt Timeline Plan - Day 4 Schedule &amp; Tasks</t>
  </si>
  <si>
    <t>Staff operations control tables and status assignment buttons</t>
  </si>
  <si>
    <t>Consent prompt and webcam feed canvas punch frames</t>
  </si>
  <si>
    <t>Consent verification punches and fallbacks endpoints adapters</t>
  </si>
  <si>
    <t>Python face matching algorithms calculating liveness scores</t>
  </si>
  <si>
    <t>Standardized profile template datasets for staff registration calibrator</t>
  </si>
  <si>
    <t>Optimized landmarks matrix comparison module testing files</t>
  </si>
  <si>
    <t>HTML webcam access wrapper components tests reports</t>
  </si>
  <si>
    <t>Gantt Timeline Plan - Day 5 Schedule &amp; Tasks</t>
  </si>
  <si>
    <t>Satisfaction ratings form controls locking completed complaints</t>
  </si>
  <si>
    <t>Chat container overlays with scrolling dialog logs interface</t>
  </si>
  <si>
    <t>User management console and Audit system dashboard panels</t>
  </si>
  <si>
    <t>Grievance feedback ratings submission routers locking ticket</t>
  </si>
  <si>
    <t>Administrative configs and system parameter modifications APIs</t>
  </si>
  <si>
    <t>Grounded chat orchestrator wrapper using Gemini APIs models</t>
  </si>
  <si>
    <t>PDF/Image metadata scanner extracting doc credentials details</t>
  </si>
  <si>
    <t>Microservice endpoints parsing citizen attachments and query logs</t>
  </si>
  <si>
    <t>Prompt system blueprints grounding chatbot in municipality docs</t>
  </si>
  <si>
    <t>Webcam punch validation tracing logs check-ins</t>
  </si>
  <si>
    <t>Accuracy metrics checking FAR and FRR scales results log</t>
  </si>
  <si>
    <t>Gantt Timeline Plan - Day 6 Schedule &amp; Tasks</t>
  </si>
  <si>
    <t>Alert toasts dialogs and global notifications dropdown list</t>
  </si>
  <si>
    <t>CSS media queries patches verifying mobile responsiveness</t>
  </si>
  <si>
    <t>Frontend view layouts wired to active backend API endpoints</t>
  </si>
  <si>
    <t>Transactional logger tracking key security database modifications</t>
  </si>
  <si>
    <t>Centralized error handlers and request ID injector scripts</t>
  </si>
  <si>
    <t>Anti-NoSQL injections and CAPTCHA validators middlewares</t>
  </si>
  <si>
    <t>Custom validation functions sanitizing inputs before DB write</t>
  </si>
  <si>
    <t>Explain query audit logs verifying efficient index mappings</t>
  </si>
  <si>
    <t>Webcam rendering log on Safari, Firefox, Chrome, Edge</t>
  </si>
  <si>
    <t>Biometrics validation checklist verifying dashboard updates logs</t>
  </si>
  <si>
    <t>Completed QA pass summaries checklist log sheet</t>
  </si>
  <si>
    <t>Gantt Timeline Plan - Day 7 Schedule &amp; Tasks</t>
  </si>
  <si>
    <t>Render/Vercel production environment config sheets</t>
  </si>
  <si>
    <t>E2E user interface visual checking verification report</t>
  </si>
  <si>
    <t>User acceptance tracking forms templates validation</t>
  </si>
  <si>
    <t>Consolidated developer guide and handover checklist documentation</t>
  </si>
  <si>
    <t>Updated README and master documents folders checklists</t>
  </si>
  <si>
    <t>Backend Tasks (Module Lead: Muhammad Sanish)</t>
  </si>
  <si>
    <t>Frontend Tasks (Module Lead: Adithyan N)</t>
  </si>
  <si>
    <t>Database Tasks (Module Lead: Fathima Hana)</t>
  </si>
  <si>
    <t>AI Tasks (Module Lead: Muhammed Sadik KT)</t>
  </si>
  <si>
    <t>Face Recognition Tasks (Module Lead: Fadi Ahmed)</t>
  </si>
  <si>
    <t>Documentation &amp; QA Tasks (Module Lead: Minha Palakkathodi)</t>
  </si>
  <si>
    <t>Infrastructure Tasks (Module Lead: Adithyan N + Muhammad Sanish)</t>
  </si>
  <si>
    <t>Cross-Module Integration Point Registry</t>
  </si>
  <si>
    <t>Integration ID</t>
  </si>
  <si>
    <t>Source Module</t>
  </si>
  <si>
    <t>Destination Module</t>
  </si>
  <si>
    <t>Interface Name</t>
  </si>
  <si>
    <t>Data Flow Description</t>
  </si>
  <si>
    <t>Verification Notes</t>
  </si>
  <si>
    <t>INT-001</t>
  </si>
  <si>
    <t>Database Connection</t>
  </si>
  <si>
    <t>Express backend connects to MongoDB Atlas using Mongoose</t>
  </si>
  <si>
    <t>Connection successful, connection pooling configured</t>
  </si>
  <si>
    <t>INT-002</t>
  </si>
  <si>
    <t>Auth Handshake</t>
  </si>
  <si>
    <t>React client login/register payload to Express auth API endpoints</t>
  </si>
  <si>
    <t>Endpoints created, UI integration in progress</t>
  </si>
  <si>
    <t>INT-003</t>
  </si>
  <si>
    <t>AI Services</t>
  </si>
  <si>
    <t>Gemini Chat Proxy</t>
  </si>
  <si>
    <t>Express server proxies user queries to Gemini RAG service</t>
  </si>
  <si>
    <t>Gemini wrapper ready, backend routing pending</t>
  </si>
  <si>
    <t>INT-004</t>
  </si>
  <si>
    <t>Liveness punch service</t>
  </si>
  <si>
    <t>Express server proxies webcam captures to Python biometric service</t>
  </si>
  <si>
    <t>Python service prototype ready</t>
  </si>
  <si>
    <t>INT-005</t>
  </si>
  <si>
    <t>Webcam punch feed</t>
  </si>
  <si>
    <t>React scanner UI uploads face frames to backend</t>
  </si>
  <si>
    <t>Webcam access prompt completed</t>
  </si>
  <si>
    <t>INT-006</t>
  </si>
  <si>
    <t>Vector Store Index</t>
  </si>
  <si>
    <t>Gemini RAG queries vector index on MongoDB collection</t>
  </si>
  <si>
    <t>Index configured, test queries pending</t>
  </si>
  <si>
    <t>Defect Prevention and QA Bug Tracker</t>
  </si>
  <si>
    <t>Bug ID</t>
  </si>
  <si>
    <t>Summary</t>
  </si>
  <si>
    <t>Steps to Reproduce</t>
  </si>
  <si>
    <t>Severity</t>
  </si>
  <si>
    <t>Found By</t>
  </si>
  <si>
    <t>Date Found</t>
  </si>
  <si>
    <t>Date Closed</t>
  </si>
  <si>
    <t>Target Release</t>
  </si>
  <si>
    <t>Resolution Notes</t>
  </si>
  <si>
    <t>BUG-001</t>
  </si>
  <si>
    <t>Token expiration causes infinite loop in Axios interceptor</t>
  </si>
  <si>
    <t xml:space="preserve">1. Login to client portal.
2. Wait for JWT token to expire.
3. Request fails, interceptor retries indefinitely.</t>
  </si>
  <si>
    <t>2026-06-19</t>
  </si>
  <si>
    <t>v1.0.0-MVP</t>
  </si>
  <si>
    <t>Fixing axios interceptor retry count logic.</t>
  </si>
  <si>
    <t>Mandatory MVP Security Validation Gates</t>
  </si>
  <si>
    <t>Control ID</t>
  </si>
  <si>
    <t>Security Control Requirement</t>
  </si>
  <si>
    <t>Verification Method / Evidence</t>
  </si>
  <si>
    <t>Verified By</t>
  </si>
  <si>
    <t>Target Day</t>
  </si>
  <si>
    <t>SEC-001</t>
  </si>
  <si>
    <t>No plaintext secrets committed. Config retrieved from env.</t>
  </si>
  <si>
    <t>Code review of configuration modules &amp; environment logs.</t>
  </si>
  <si>
    <t>SEC-002</t>
  </si>
  <si>
    <t>Bcrypt password hashing configured with workload factor &gt;= 10.</t>
  </si>
  <si>
    <t>Review backend signup logic and test database hashes.</t>
  </si>
  <si>
    <t>SEC-003</t>
  </si>
  <si>
    <t>JWT tokens set with short expiration limits (&lt; 15 mins).</t>
  </si>
  <si>
    <t>Examine JWT payload structures and expiry parameters.</t>
  </si>
  <si>
    <t>SEC-004</t>
  </si>
  <si>
    <t>Resource ownership filter validated at backend layer.</t>
  </si>
  <si>
    <t>Testing API modifications under multiple authenticated roles.</t>
  </si>
  <si>
    <t>SEC-005</t>
  </si>
  <si>
    <t>Upload restrictions gated to PDF/Image formats and &lt; 5MB.</t>
  </si>
  <si>
    <t>Try uploading arbitrary text/executable files to complain attachments.</t>
  </si>
  <si>
    <t>SEC-006</t>
  </si>
  <si>
    <t>Public trackers suppress private remarks &amp; internal logs.</t>
  </si>
  <si>
    <t>Call tracking endpoint publicly and inspect JSON response.</t>
  </si>
  <si>
    <t>SEC-007</t>
  </si>
  <si>
    <t>Biometric consent checked prior to webcam scan access.</t>
  </si>
  <si>
    <t>Test attendance check-in workflow without setting consent flag.</t>
  </si>
  <si>
    <t>SEC-008</t>
  </si>
  <si>
    <t>Zero photo retention in face recognition microservice.</t>
  </si>
  <si>
    <t>Verify volatile memory execution and check disk file systems.</t>
  </si>
  <si>
    <t>SEC-009</t>
  </si>
  <si>
    <t>Gemini prompts locked within municipal context chunks.</t>
  </si>
  <si>
    <t>Attempt prompt injections to query non-municipal system topics.</t>
  </si>
  <si>
    <t>SEC-010</t>
  </si>
  <si>
    <t>Anti-NoSQL injection middleware active on backend.</t>
  </si>
  <si>
    <t>Send query payloads with operator tags ($gt, $ne, etc.) to APIs.</t>
  </si>
  <si>
    <t>SEC-011</t>
  </si>
  <si>
    <t>SameSite, HTTPOnly and Secure flags set on JWT cookies.</t>
  </si>
  <si>
    <t>Verify response headers set-cookie attributes in browser console.</t>
  </si>
  <si>
    <t>SEC-012</t>
  </si>
  <si>
    <t>Immutable S3 backup snapshot locks configured.</t>
  </si>
  <si>
    <t>Review backup lock policy config and attempt deletion command.</t>
  </si>
  <si>
    <t>Daily Scrum Standup Tracker (15 mins Review logs)</t>
  </si>
  <si>
    <t>Date</t>
  </si>
  <si>
    <t>Yesterday (Completed Tasks)</t>
  </si>
  <si>
    <t>Today (Planned Tasks)</t>
  </si>
  <si>
    <t>Blockers / Roadblocks</t>
  </si>
  <si>
    <t>Present (Yes/No)</t>
  </si>
  <si>
    <t>Completed setup steps</t>
  </si>
  <si>
    <t>Drafting component architecture</t>
  </si>
  <si>
    <t>Resource Allocation and Productivity Tracker</t>
  </si>
  <si>
    <t>Critical Path Dependency Registry</t>
  </si>
  <si>
    <t>Dependency ID</t>
  </si>
  <si>
    <t>Pre-Requisite Task</t>
  </si>
  <si>
    <t>Dependent Task</t>
  </si>
  <si>
    <t>Dependency Description</t>
  </si>
  <si>
    <t>Severity Impact</t>
  </si>
  <si>
    <t>DEP-001</t>
  </si>
  <si>
    <t>TASK-DB-001 (Core Schemas)</t>
  </si>
  <si>
    <t>TASK-BE-002 (JWT Auth)</t>
  </si>
  <si>
    <t>Auth controllers require database schema models before coding begins</t>
  </si>
  <si>
    <t>Resolved</t>
  </si>
  <si>
    <t>DEP-002</t>
  </si>
  <si>
    <t>TASK-BE-003 (RBAC)</t>
  </si>
  <si>
    <t>RBAC filters require authenticated JWT session tokens</t>
  </si>
  <si>
    <t>DEP-003</t>
  </si>
  <si>
    <t>TASK-FE-INF-003 (Route Guards)</t>
  </si>
  <si>
    <t>React guards require verified role sets from auth tokens</t>
  </si>
  <si>
    <t>DEP-004</t>
  </si>
  <si>
    <t>TASK-DB-002 (Complaints Schema)</t>
  </si>
  <si>
    <t>TASK-BE-004 (Complaint APIs)</t>
  </si>
  <si>
    <t>Complaint controller requires complaints schemas</t>
  </si>
  <si>
    <t>DEP-005</t>
  </si>
  <si>
    <t>TASK-AI-001 (Python Face Service)</t>
  </si>
  <si>
    <t>TASK-BE-006 (Biometric APIs)</t>
  </si>
  <si>
    <t>Backend punches depend on liveness scoring output</t>
  </si>
  <si>
    <t>DEP-006</t>
  </si>
  <si>
    <t>TASK-FE-005 (Attendance UI)</t>
  </si>
  <si>
    <t>Webcam punch portal requires attendance APIs</t>
  </si>
  <si>
    <t>MVP Production Launch Readiness Gates</t>
  </si>
  <si>
    <t>Deployment ID</t>
  </si>
  <si>
    <t>Launch Readiness Task</t>
  </si>
  <si>
    <t>Verification Method</t>
  </si>
  <si>
    <t>DEPL-001</t>
  </si>
  <si>
    <t>MongoDB Atlas Multi-AZ cluster config</t>
  </si>
  <si>
    <t>Verify production connection URI and access rules</t>
  </si>
  <si>
    <t>DEPL-002</t>
  </si>
  <si>
    <t>Production environment variables loaded</t>
  </si>
  <si>
    <t>Check config env parameters on hosting targets</t>
  </si>
  <si>
    <t>DEPL-003</t>
  </si>
  <si>
    <t>CORS origins allowlist configured</t>
  </si>
  <si>
    <t>Ensure only frontend URL is allowed in backend middleware</t>
  </si>
  <si>
    <t>DEPL-004</t>
  </si>
  <si>
    <t>HTTPS redirection configuration</t>
  </si>
  <si>
    <t>Confirm HTTP automatically redirects to HTTPS on production</t>
  </si>
  <si>
    <t>DEPL-005</t>
  </si>
  <si>
    <t>Render API Hosting server deploy</t>
  </si>
  <si>
    <t>Deploy backend service to Render backend web service</t>
  </si>
  <si>
    <t>DEPL-006</t>
  </si>
  <si>
    <t>Vercel Frontend client deploy</t>
  </si>
  <si>
    <t>Deploy React app and configure production routing on Vercel</t>
  </si>
  <si>
    <t>DEPL-007</t>
  </si>
  <si>
    <t>Turnstile CAPTCHA keys integration</t>
  </si>
  <si>
    <t>Load live keys to frontend and backend env properties</t>
  </si>
  <si>
    <t>DEPL-008</t>
  </si>
  <si>
    <t>KMS backup encryption setup</t>
  </si>
  <si>
    <t>Verify encryption keys rotation policies on AWS KMS</t>
  </si>
  <si>
    <t>Project Risk Mitigation Register</t>
  </si>
  <si>
    <t>Risk ID</t>
  </si>
  <si>
    <t>Risk Description</t>
  </si>
  <si>
    <t>Mitigation Plan Action</t>
  </si>
  <si>
    <t>Risk Owner</t>
  </si>
  <si>
    <t>RSK-001</t>
  </si>
  <si>
    <t>Delay in database schema finalization</t>
  </si>
  <si>
    <t>Provide early database support from Adithyan N to Fathima Hana to accelerate coding.</t>
  </si>
  <si>
    <t>Mitigated</t>
  </si>
  <si>
    <t>RSK-002</t>
  </si>
  <si>
    <t>Biometric liveness detection accuracy issues</t>
  </si>
  <si>
    <t>Run training calibrations on diverse light settings and support manual PIN fallback.</t>
  </si>
  <si>
    <t>Open</t>
  </si>
  <si>
    <t>RSK-003</t>
  </si>
  <si>
    <t>Webcam access permission denials on Safari browsers</t>
  </si>
  <si>
    <t>Provide detailed user permission guides and visual warning frames.</t>
  </si>
  <si>
    <t>RSK-004</t>
  </si>
  <si>
    <t>Database backups data loss or tamper events</t>
  </si>
  <si>
    <t>Configure AWS S3 Object Lock compliance mode with retention locks.</t>
  </si>
  <si>
    <t>RSK-005</t>
  </si>
  <si>
    <t>API endpoints performance drops under parallel loads</t>
  </si>
  <si>
    <t>Configure indexing structures and run database query optimizations.</t>
  </si>
  <si>
    <t>Official Municipality Handover Packages Delivery Checklist</t>
  </si>
  <si>
    <t>Handover ID</t>
  </si>
  <si>
    <t>Handover Package / Deliverable</t>
  </si>
  <si>
    <t>Owner</t>
  </si>
  <si>
    <t>Remarks / Details</t>
  </si>
  <si>
    <t>HND-001</t>
  </si>
  <si>
    <t>Developer Guide and API Readme Manual</t>
  </si>
  <si>
    <t>Official handoff documentation template</t>
  </si>
  <si>
    <t>HND-002</t>
  </si>
  <si>
    <t>GitHub Repository Admin Credentials Transfer</t>
  </si>
  <si>
    <t>Rotating repository administrative keys</t>
  </si>
  <si>
    <t>HND-003</t>
  </si>
  <si>
    <t>MongoDB Atlas Cluster Credentials Transfer</t>
  </si>
  <si>
    <t>Transfer ownership to client account</t>
  </si>
  <si>
    <t>HND-004</t>
  </si>
  <si>
    <t>Render and Vercel Hosting Administration Credentials</t>
  </si>
  <si>
    <t>Provide organization administration logins</t>
  </si>
  <si>
    <t>HND-005</t>
  </si>
  <si>
    <t>Escalation Contacts and SLA Matrix Agreement</t>
  </si>
  <si>
    <t>Document contacts list and response guidelines</t>
  </si>
  <si>
    <t>HND-006</t>
  </si>
  <si>
    <t>Biometric Data Consent Forms Logs</t>
  </si>
  <si>
    <t>Review records against privacy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</si>
</sst>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595959"/>
      <sz val="9"/>
      <name val="Segoe UI"/>
    </font>
    <font>
      <b/>
      <color rgb="FF1F4E78"/>
      <sz val="16"/>
      <name val="Segoe UI"/>
    </font>
    <font>
      <b/>
      <color rgb="FFFFFFFF"/>
      <sz val="10"/>
      <name val="Segoe UI"/>
    </font>
    <font>
      <b/>
      <sz val="9"/>
      <name val="Segoe UI"/>
    </font>
    <font>
      <sz val="10"/>
      <name val="Segoe UI"/>
    </font>
    <font>
      <b/>
      <color rgb="FFFFFFFF"/>
      <sz val="11"/>
      <name val="Segoe UI"/>
    </font>
    <font>
      <b/>
      <name val="Segoe UI"/>
    </font>
    <font>
      <b/>
      <color rgb="FFFFFFFF"/>
      <name val="Segoe UI"/>
    </font>
    <font>
      <sz val="9"/>
      <name val="Segoe UI"/>
    </font>
    <font>
      <b/>
      <color rgb="FFFFFFFF"/>
      <sz val="12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2C5E8A"/>
      </patternFill>
    </fill>
    <fill>
      <patternFill patternType="solid">
        <fgColor rgb="FFF2F2F2"/>
      </patternFill>
    </fill>
    <fill>
      <patternFill patternType="solid">
        <fgColor rgb="FFEBF2F7"/>
      </patternFill>
    </fill>
    <fill>
      <patternFill patternType="solid">
        <fgColor rgb="FF1F4E78"/>
      </patternFill>
    </fill>
    <fill>
      <patternFill patternType="solid">
        <fgColor rgb="FFF9FBFD"/>
      </patternFill>
    </fill>
    <fill>
      <patternFill patternType="solid">
        <fgColor rgb="FF7F7F7F"/>
      </patternFill>
    </fill>
    <fill>
      <patternFill patternType="solid">
        <fgColor rgb="FF595959"/>
      </patternFill>
    </fill>
    <fill>
      <patternFill patternType="solid">
        <fgColor rgb="FFC65911"/>
      </patternFill>
    </fill>
    <fill>
      <patternFill patternType="solid">
        <fgColor rgb="FF375623"/>
      </patternFill>
    </fill>
  </fills>
  <borders count="1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rgb="FF1F4E78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rgb="FF2C5E8A"/>
      </bottom>
      <diagonal/>
    </border>
    <border>
      <left/>
      <right/>
      <top/>
      <bottom style="thin">
        <color rgb="FFD3D3D3"/>
      </bottom>
      <diagonal/>
    </border>
    <border>
      <left style="thin">
        <color rgb="FF7F7F7F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7F7F7F"/>
      </right>
      <top style="thin">
        <color rgb="FFD3D3D3"/>
      </top>
      <bottom style="thin">
        <color rgb="FFD3D3D3"/>
      </bottom>
      <diagonal/>
    </border>
    <border>
      <left style="thin">
        <color rgb="FF595959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95959"/>
      </right>
      <top style="thin">
        <color rgb="FFD3D3D3"/>
      </top>
      <bottom style="thin">
        <color rgb="FFD3D3D3"/>
      </bottom>
      <diagonal/>
    </border>
    <border>
      <left style="thin">
        <color rgb="FF1F4E78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1F4E78"/>
      </right>
      <top style="thin">
        <color rgb="FFD3D3D3"/>
      </top>
      <bottom style="thin">
        <color rgb="FFD3D3D3"/>
      </bottom>
      <diagonal/>
    </border>
    <border>
      <left style="thin">
        <color rgb="FFC65911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C65911"/>
      </right>
      <top style="thin">
        <color rgb="FFD3D3D3"/>
      </top>
      <bottom style="thin">
        <color rgb="FFD3D3D3"/>
      </bottom>
      <diagonal/>
    </border>
    <border>
      <left style="thin">
        <color rgb="FF37562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37562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6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right"/>
    </xf>
    <xf numFmtId="0" fontId="7" fillId="2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/>
    </xf>
    <xf numFmtId="0" fontId="8" fillId="0" borderId="0" xfId="0" applyFont="1"/>
    <xf numFmtId="0" fontId="0" fillId="4" borderId="3" xfId="0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left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/>
  </cellXfs>
  <cellStyles count="1">
    <cellStyle name="Normal" xfId="0" builtinId="0"/>
  </cellStyles>
  <dxfs count="186"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color rgb="FF595959"/>
      </font>
      <fill>
        <patternFill patternType="solid">
          <fgColor rgb="FFF2F2F2"/>
        </patternFill>
      </fill>
    </dxf>
    <dxf>
      <font>
        <b/>
        <color rgb="FFFFFFFF"/>
      </font>
      <fill>
        <patternFill patternType="solid">
          <fgColor rgb="FFC00000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color rgb="FF595959"/>
      </font>
      <fill>
        <patternFill patternType="solid">
          <fgColor rgb="FFF2F2F2"/>
        </patternFill>
      </fill>
    </dxf>
    <dxf>
      <font>
        <b/>
        <color rgb="FFFFFFFF"/>
      </font>
      <fill>
        <patternFill patternType="solid">
          <fgColor rgb="FFC00000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color rgb="FF595959"/>
      </font>
      <fill>
        <patternFill patternType="solid">
          <fgColor rgb="FFF2F2F2"/>
        </patternFill>
      </fill>
    </dxf>
    <dxf>
      <font>
        <b/>
        <color rgb="FFFFFFFF"/>
      </font>
      <fill>
        <patternFill patternType="solid">
          <fgColor rgb="FFC00000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color rgb="FF595959"/>
      </font>
      <fill>
        <patternFill patternType="solid">
          <fgColor rgb="FFF2F2F2"/>
        </patternFill>
      </fill>
    </dxf>
    <dxf>
      <font>
        <b/>
        <color rgb="FFFFFFFF"/>
      </font>
      <fill>
        <patternFill patternType="solid">
          <fgColor rgb="FFC00000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color rgb="FF595959"/>
      </font>
      <fill>
        <patternFill patternType="solid">
          <fgColor rgb="FFF2F2F2"/>
        </patternFill>
      </fill>
    </dxf>
    <dxf>
      <font>
        <b/>
        <color rgb="FFFFFFFF"/>
      </font>
      <fill>
        <patternFill patternType="solid">
          <fgColor rgb="FFC00000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color rgb="FF595959"/>
      </font>
      <fill>
        <patternFill patternType="solid">
          <fgColor rgb="FFF2F2F2"/>
        </patternFill>
      </fill>
    </dxf>
    <dxf>
      <font>
        <b/>
        <color rgb="FFFFFFFF"/>
      </font>
      <fill>
        <patternFill patternType="solid">
          <fgColor rgb="FFC00000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color rgb="FF595959"/>
      </font>
      <fill>
        <patternFill patternType="solid">
          <fgColor rgb="FFF2F2F2"/>
        </patternFill>
      </fill>
    </dxf>
    <dxf>
      <font>
        <b/>
        <color rgb="FFFFFFFF"/>
      </font>
      <fill>
        <patternFill patternType="solid">
          <fgColor rgb="FFC00000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color rgb="FF595959"/>
      </font>
      <fill>
        <patternFill patternType="solid">
          <fgColor rgb="FFF2F2F2"/>
        </patternFill>
      </fill>
    </dxf>
    <dxf>
      <font>
        <b/>
        <color rgb="FFFFFFFF"/>
      </font>
      <fill>
        <patternFill patternType="solid">
          <fgColor rgb="FFC00000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color rgb="FF595959"/>
      </font>
      <fill>
        <patternFill patternType="solid">
          <fgColor rgb="FFF2F2F2"/>
        </patternFill>
      </fill>
    </dxf>
    <dxf>
      <font>
        <b/>
        <color rgb="FFFFFFFF"/>
      </font>
      <fill>
        <patternFill patternType="solid">
          <fgColor rgb="FFC00000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color rgb="FF595959"/>
      </font>
      <fill>
        <patternFill patternType="solid">
          <fgColor rgb="FFF2F2F2"/>
        </patternFill>
      </fill>
    </dxf>
    <dxf>
      <font>
        <b/>
        <color rgb="FFFFFFFF"/>
      </font>
      <fill>
        <patternFill patternType="solid">
          <fgColor rgb="FFC00000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color rgb="FF595959"/>
      </font>
      <fill>
        <patternFill patternType="solid">
          <fgColor rgb="FFF2F2F2"/>
        </patternFill>
      </fill>
    </dxf>
    <dxf>
      <font>
        <b/>
        <color rgb="FFFFFFFF"/>
      </font>
      <fill>
        <patternFill patternType="solid">
          <fgColor rgb="FFC00000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color rgb="FF595959"/>
      </font>
      <fill>
        <patternFill patternType="solid">
          <fgColor rgb="FFF2F2F2"/>
        </patternFill>
      </fill>
    </dxf>
    <dxf>
      <font>
        <b/>
        <color rgb="FFFFFFFF"/>
      </font>
      <fill>
        <patternFill patternType="solid">
          <fgColor rgb="FFC00000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color rgb="FF595959"/>
      </font>
      <fill>
        <patternFill patternType="solid">
          <fgColor rgb="FFF2F2F2"/>
        </patternFill>
      </fill>
    </dxf>
    <dxf>
      <font>
        <b/>
        <color rgb="FFFFFFFF"/>
      </font>
      <fill>
        <patternFill patternType="solid">
          <fgColor rgb="FFC00000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color rgb="FF595959"/>
      </font>
      <fill>
        <patternFill patternType="solid">
          <fgColor rgb="FFF2F2F2"/>
        </patternFill>
      </fill>
    </dxf>
    <dxf>
      <font>
        <b/>
        <color rgb="FFFFFFFF"/>
      </font>
      <fill>
        <patternFill patternType="solid">
          <fgColor rgb="FFC00000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color rgb="FF595959"/>
      </font>
      <fill>
        <patternFill patternType="solid">
          <fgColor rgb="FFF2F2F2"/>
        </patternFill>
      </fill>
    </dxf>
    <dxf>
      <font>
        <b/>
        <color rgb="FFFFFFFF"/>
      </font>
      <fill>
        <patternFill patternType="solid">
          <fgColor rgb="FFC00000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color rgb="FF595959"/>
      </font>
      <fill>
        <patternFill patternType="solid">
          <fgColor rgb="FFF2F2F2"/>
        </patternFill>
      </fill>
    </dxf>
    <dxf>
      <font>
        <b/>
        <color rgb="FFFFFFFF"/>
      </font>
      <fill>
        <patternFill patternType="solid">
          <fgColor rgb="FFC00000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color rgb="FF595959"/>
      </font>
      <fill>
        <patternFill patternType="solid">
          <fgColor rgb="FFF2F2F2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color rgb="FF595959"/>
      </font>
      <fill>
        <patternFill patternType="solid">
          <fgColor rgb="FFF2F2F2"/>
        </patternFill>
      </fill>
    </dxf>
    <dxf>
      <font>
        <b/>
        <color rgb="FFFFFFFF"/>
      </font>
      <fill>
        <patternFill patternType="solid">
          <fgColor rgb="FFC00000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color rgb="FF595959"/>
      </font>
      <fill>
        <patternFill patternType="solid">
          <fgColor rgb="FFF2F2F2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color rgb="FF595959"/>
      </font>
      <fill>
        <patternFill patternType="solid">
          <fgColor rgb="FFF2F2F2"/>
        </patternFill>
      </fill>
    </dxf>
    <dxf>
      <font>
        <b/>
        <color rgb="FFFFFFFF"/>
      </font>
      <fill>
        <patternFill patternType="solid">
          <fgColor rgb="FFC00000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color rgb="FF595959"/>
      </font>
      <fill>
        <patternFill patternType="solid">
          <fgColor rgb="FFF2F2F2"/>
        </patternFill>
      </fill>
    </dxf>
    <dxf>
      <font>
        <b/>
        <color rgb="FFFFFFFF"/>
      </font>
      <fill>
        <patternFill patternType="solid">
          <fgColor rgb="FFC00000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color rgb="FF595959"/>
      </font>
      <fill>
        <patternFill patternType="solid">
          <f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2"/>
  <sheetViews>
    <sheetView workbookViewId="0">
      <pane ySplit="14" topLeftCell="A15" activePane="bottomLeft" state="frozen"/>
      <selection pane="bottomLeft"/>
    </sheetView>
  </sheetViews>
  <sheetFormatPr defaultRowHeight="15" outlineLevelRow="0" outlineLevelCol="0" x14ac:dyDescent="55"/>
  <cols>
    <col min="1" max="12" width="40" customWidth="1"/>
    <col min="13" max="13" width="29" customWidth="1"/>
    <col min="14" max="14" width="12" customWidth="1"/>
    <col min="15" max="18" width="30" customWidth="1"/>
  </cols>
  <sheetData>
    <row r="1" ht="36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6" customHeight="1" spans="1:18" x14ac:dyDescent="0.25">
      <c r="A2" s="2" t="s">
        <v>1</v>
      </c>
      <c r="B2" s="2"/>
      <c r="C2" s="2" t="s">
        <v>2</v>
      </c>
      <c r="D2" s="2"/>
      <c r="E2" s="2" t="s">
        <v>3</v>
      </c>
      <c r="F2" s="2"/>
      <c r="G2" s="2" t="s">
        <v>4</v>
      </c>
      <c r="H2" s="2"/>
      <c r="I2" s="2" t="s">
        <v>5</v>
      </c>
      <c r="J2" s="2"/>
      <c r="K2" s="2" t="s">
        <v>6</v>
      </c>
      <c r="L2" s="2"/>
    </row>
    <row r="3" ht="18" customHeight="1" spans="1:18" x14ac:dyDescent="0.25">
      <c r="A3" s="3">
        <f>=COUNTIF(F16:F72, "Completed")/COUNTA(A16:A72)</f>
        <v>0.3333333333333333</v>
      </c>
      <c r="B3" s="3"/>
      <c r="C3" s="3">
        <f>=COUNTIF(F16:F72, "Blocked")</f>
        <v>0</v>
      </c>
      <c r="D3" s="3"/>
      <c r="E3" s="3">
        <f>=COUNTIFS(E16:E72, "Critical", F16:F72, "&lt;&gt;Completed")</f>
        <v>2</v>
      </c>
      <c r="F3" s="3"/>
      <c r="G3" s="3">
        <f>=COUNTIFS('Bug Tracker'!G3:G30, "&lt;&gt;Completed", 'Bug Tracker'!G3:G30, "&lt;&gt;")</f>
        <v>1</v>
      </c>
      <c r="H3" s="3"/>
      <c r="I3" s="3">
        <f>=COUNTIF('Security Checklist'!D3:D14, "Completed")/COUNTA('Security Checklist'!D3:D14)</f>
        <v>0.25</v>
      </c>
      <c r="J3" s="3"/>
      <c r="K3" s="3">
        <f>=COUNTIF('Deployment Checklist'!D3:D10, "Completed")/COUNTA('Deployment Checklist'!D3:D10)</f>
        <v>0.375</v>
      </c>
      <c r="L3" s="3"/>
    </row>
    <row r="4" ht="18" customHeight="1" spans="1:18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8" x14ac:dyDescent="0.25"/>
    <row r="6" ht="20" customHeight="1" spans="1:18" x14ac:dyDescent="0.25">
      <c r="A6" s="4" t="s">
        <v>7</v>
      </c>
      <c r="B6" s="4"/>
      <c r="C6" s="4"/>
      <c r="D6" s="4"/>
      <c r="E6" s="4"/>
      <c r="F6" s="4"/>
      <c r="H6" s="4" t="s">
        <v>8</v>
      </c>
      <c r="I6" s="4"/>
      <c r="J6" s="4"/>
      <c r="K6" s="4"/>
      <c r="L6" s="4"/>
      <c r="M6" s="4"/>
      <c r="O6" s="4" t="s">
        <v>9</v>
      </c>
      <c r="P6" s="4"/>
      <c r="Q6" s="4"/>
      <c r="R6" s="4"/>
    </row>
    <row r="7" ht="18" customHeight="1" spans="1:18" x14ac:dyDescent="0.25">
      <c r="A7" s="5" t="s">
        <v>10</v>
      </c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H7" s="5" t="s">
        <v>16</v>
      </c>
      <c r="I7" s="5" t="s">
        <v>17</v>
      </c>
      <c r="J7" s="5" t="s">
        <v>12</v>
      </c>
      <c r="K7" s="5" t="s">
        <v>13</v>
      </c>
      <c r="L7" s="5" t="s">
        <v>14</v>
      </c>
      <c r="M7" s="5" t="s">
        <v>15</v>
      </c>
      <c r="O7" s="5" t="s">
        <v>18</v>
      </c>
      <c r="P7" s="5" t="s">
        <v>17</v>
      </c>
      <c r="Q7" s="5" t="s">
        <v>12</v>
      </c>
      <c r="R7" s="5" t="s">
        <v>15</v>
      </c>
    </row>
    <row r="8" spans="1:18" x14ac:dyDescent="0.25">
      <c r="A8" s="6" t="s">
        <v>19</v>
      </c>
      <c r="B8" s="7">
        <f>=COUNTIF($D$16:$D$72, A8)</f>
        <v>6</v>
      </c>
      <c r="C8" s="7">
        <f>=COUNTIFS($D$16:$D$72, A8, $F$16:$F$72, "Completed")</f>
        <v>2</v>
      </c>
      <c r="D8" s="7">
        <f>=B8-C8-E8</f>
        <v>4</v>
      </c>
      <c r="E8" s="7">
        <f>=COUNTIFS($D$16:$D$72, A8, $F$16:$F$72, "Blocked")</f>
        <v>0</v>
      </c>
      <c r="F8" s="8">
        <f>=IF(B8&gt;0, C8/B8, 0)</f>
        <v>0.3333333333333333</v>
      </c>
      <c r="H8" s="6" t="s">
        <v>20</v>
      </c>
      <c r="I8" s="7">
        <f>=COUNTIF($B$16:$B$72, H8)</f>
        <v>11</v>
      </c>
      <c r="J8" s="7">
        <f>=COUNTIFS($B$16:$B$72, H8, $F$16:$F$72, "Completed")</f>
        <v>3</v>
      </c>
      <c r="K8" s="7">
        <f>=I8-J8-L8</f>
        <v>8</v>
      </c>
      <c r="L8" s="7">
        <f>=COUNTIFS($B$16:$B$72, H8, $F$16:$F$72, "Blocked")</f>
        <v>0</v>
      </c>
      <c r="M8" s="8">
        <f>=IF(I8&gt;0, J8/I8, 0)</f>
        <v>0.2727272727272727</v>
      </c>
      <c r="O8" s="6" t="s">
        <v>21</v>
      </c>
      <c r="P8" s="7">
        <f>=COUNTIF($H$16:$H$72, O8)</f>
        <v>5</v>
      </c>
      <c r="Q8" s="7">
        <f>=COUNTIFS($H$16:$H$72, O8, $F$16:$F$72, "Completed")</f>
        <v>5</v>
      </c>
      <c r="R8" s="8">
        <f>=IF(P8&gt;0, Q8/P8, 0)</f>
        <v>1</v>
      </c>
    </row>
    <row r="9" spans="1:18" x14ac:dyDescent="0.25">
      <c r="A9" s="9" t="s">
        <v>22</v>
      </c>
      <c r="B9" s="10">
        <f>=COUNTIF($D$16:$D$72, A9)</f>
        <v>20</v>
      </c>
      <c r="C9" s="10">
        <f>=COUNTIFS($D$16:$D$72, A9, $F$16:$F$72, "Completed")</f>
        <v>8</v>
      </c>
      <c r="D9" s="10">
        <f>=B9-C9-E9</f>
        <v>12</v>
      </c>
      <c r="E9" s="10">
        <f>=COUNTIFS($D$16:$D$72, A9, $F$16:$F$72, "Blocked")</f>
        <v>0</v>
      </c>
      <c r="F9" s="11">
        <f>=IF(B9&gt;0, C9/B9, 0)</f>
        <v>0.4</v>
      </c>
      <c r="H9" s="9" t="s">
        <v>23</v>
      </c>
      <c r="I9" s="10">
        <f>=COUNTIF($B$16:$B$72, H9)</f>
        <v>18</v>
      </c>
      <c r="J9" s="10">
        <f>=COUNTIFS($B$16:$B$72, H9, $F$16:$F$72, "Completed")</f>
        <v>7</v>
      </c>
      <c r="K9" s="10">
        <f>=I9-J9-L9</f>
        <v>11</v>
      </c>
      <c r="L9" s="10">
        <f>=COUNTIFS($B$16:$B$72, H9, $F$16:$F$72, "Blocked")</f>
        <v>0</v>
      </c>
      <c r="M9" s="11">
        <f>=IF(I9&gt;0, J9/I9, 0)</f>
        <v>0.3888888888888889</v>
      </c>
      <c r="O9" s="9" t="s">
        <v>24</v>
      </c>
      <c r="P9" s="10">
        <f>=COUNTIF($H$16:$H$72, O9)</f>
        <v>7</v>
      </c>
      <c r="Q9" s="10">
        <f>=COUNTIFS($H$16:$H$72, O9, $F$16:$F$72, "Completed")</f>
        <v>7</v>
      </c>
      <c r="R9" s="11">
        <f>=IF(P9&gt;0, Q9/P9, 0)</f>
        <v>1</v>
      </c>
    </row>
    <row r="10" spans="1:18" x14ac:dyDescent="0.25">
      <c r="A10" s="6" t="s">
        <v>25</v>
      </c>
      <c r="B10" s="7">
        <f>=COUNTIF($D$16:$D$72, A10)</f>
        <v>6</v>
      </c>
      <c r="C10" s="7">
        <f>=COUNTIFS($D$16:$D$72, A10, $F$16:$F$72, "Completed")</f>
        <v>4</v>
      </c>
      <c r="D10" s="7">
        <f>=B10-C10-E10</f>
        <v>2</v>
      </c>
      <c r="E10" s="7">
        <f>=COUNTIFS($D$16:$D$72, A10, $F$16:$F$72, "Blocked")</f>
        <v>0</v>
      </c>
      <c r="F10" s="8">
        <f>=IF(B10&gt;0, C10/B10, 0)</f>
        <v>0.6666666666666666</v>
      </c>
      <c r="H10" s="6" t="s">
        <v>26</v>
      </c>
      <c r="I10" s="7">
        <f>=COUNTIF($B$16:$B$72, H10)</f>
        <v>6</v>
      </c>
      <c r="J10" s="7">
        <f>=COUNTIFS($B$16:$B$72, H10, $F$16:$F$72, "Completed")</f>
        <v>4</v>
      </c>
      <c r="K10" s="7">
        <f>=I10-J10-L10</f>
        <v>2</v>
      </c>
      <c r="L10" s="7">
        <f>=COUNTIFS($B$16:$B$72, H10, $F$16:$F$72, "Blocked")</f>
        <v>0</v>
      </c>
      <c r="M10" s="8">
        <f>=IF(I10&gt;0, J10/I10, 0)</f>
        <v>0.6666666666666666</v>
      </c>
      <c r="O10" s="6" t="s">
        <v>27</v>
      </c>
      <c r="P10" s="7">
        <f>=COUNTIF($H$16:$H$72, O10)</f>
        <v>5</v>
      </c>
      <c r="Q10" s="7">
        <f>=COUNTIFS($H$16:$H$72, O10, $F$16:$F$72, "Completed")</f>
        <v>5</v>
      </c>
      <c r="R10" s="8">
        <f>=IF(P10&gt;0, Q10/P10, 0)</f>
        <v>1</v>
      </c>
    </row>
    <row r="11" spans="1:18" x14ac:dyDescent="0.25">
      <c r="A11" s="9" t="s">
        <v>28</v>
      </c>
      <c r="B11" s="10">
        <f>=COUNTIF($D$16:$D$72, A11)</f>
        <v>13</v>
      </c>
      <c r="C11" s="10">
        <f>=COUNTIFS($D$16:$D$72, A11, $F$16:$F$72, "Completed")</f>
        <v>5</v>
      </c>
      <c r="D11" s="10">
        <f>=B11-C11-E11</f>
        <v>8</v>
      </c>
      <c r="E11" s="10">
        <f>=COUNTIFS($D$16:$D$72, A11, $F$16:$F$72, "Blocked")</f>
        <v>0</v>
      </c>
      <c r="F11" s="11">
        <f>=IF(B11&gt;0, C11/B11, 0)</f>
        <v>0.38461538461538464</v>
      </c>
      <c r="H11" s="9" t="s">
        <v>29</v>
      </c>
      <c r="I11" s="10">
        <f>=COUNTIF($B$16:$B$72, H11)</f>
        <v>5</v>
      </c>
      <c r="J11" s="10">
        <f>=COUNTIFS($B$16:$B$72, H11, $F$16:$F$72, "Completed")</f>
        <v>0</v>
      </c>
      <c r="K11" s="10">
        <f>=I11-J11-L11</f>
        <v>5</v>
      </c>
      <c r="L11" s="10">
        <f>=COUNTIFS($B$16:$B$72, H11, $F$16:$F$72, "Blocked")</f>
        <v>0</v>
      </c>
      <c r="M11" s="11">
        <f>=IF(I11&gt;0, J11/I11, 0)</f>
        <v>0</v>
      </c>
      <c r="O11" s="9" t="s">
        <v>30</v>
      </c>
      <c r="P11" s="10">
        <f>=COUNTIF($H$16:$H$72, O11)</f>
        <v>6</v>
      </c>
      <c r="Q11" s="10">
        <f>=COUNTIFS($H$16:$H$72, O11, $F$16:$F$72, "Completed")</f>
        <v>2</v>
      </c>
      <c r="R11" s="11">
        <f>=IF(P11&gt;0, Q11/P11, 0)</f>
        <v>0.3333333333333333</v>
      </c>
    </row>
    <row r="12" spans="1:18" x14ac:dyDescent="0.25">
      <c r="A12" s="6" t="s">
        <v>31</v>
      </c>
      <c r="B12" s="7">
        <f>=COUNTIF($D$16:$D$72, A12)</f>
        <v>7</v>
      </c>
      <c r="C12" s="7">
        <f>=COUNTIFS($D$16:$D$72, A12, $F$16:$F$72, "Completed")</f>
        <v>0</v>
      </c>
      <c r="D12" s="7">
        <f>=B12-C12-E12</f>
        <v>7</v>
      </c>
      <c r="E12" s="7">
        <f>=COUNTIFS($D$16:$D$72, A12, $F$16:$F$72, "Blocked")</f>
        <v>0</v>
      </c>
      <c r="F12" s="8">
        <f>=IF(B12&gt;0, C12/B12, 0)</f>
        <v>0</v>
      </c>
      <c r="H12" s="6" t="s">
        <v>32</v>
      </c>
      <c r="I12" s="7">
        <f>=COUNTIF($B$16:$B$72, H12)</f>
        <v>7</v>
      </c>
      <c r="J12" s="7">
        <f>=COUNTIFS($B$16:$B$72, H12, $F$16:$F$72, "Completed")</f>
        <v>0</v>
      </c>
      <c r="K12" s="7">
        <f>=I12-J12-L12</f>
        <v>7</v>
      </c>
      <c r="L12" s="7">
        <f>=COUNTIFS($B$16:$B$72, H12, $F$16:$F$72, "Blocked")</f>
        <v>0</v>
      </c>
      <c r="M12" s="8">
        <f>=IF(I12&gt;0, J12/I12, 0)</f>
        <v>0</v>
      </c>
      <c r="O12" s="6" t="s">
        <v>33</v>
      </c>
      <c r="P12" s="7">
        <f>=COUNTIF($H$16:$H$72, O12)</f>
        <v>7</v>
      </c>
      <c r="Q12" s="7">
        <f>=COUNTIFS($H$16:$H$72, O12, $F$16:$F$72, "Completed")</f>
        <v>0</v>
      </c>
      <c r="R12" s="8">
        <f>=IF(P12&gt;0, Q12/P12, 0)</f>
        <v>0</v>
      </c>
    </row>
    <row r="13" spans="1:18" x14ac:dyDescent="0.25">
      <c r="A13" s="9" t="s">
        <v>34</v>
      </c>
      <c r="B13" s="10">
        <f>=COUNTIF($D$16:$D$72, A13)</f>
        <v>5</v>
      </c>
      <c r="C13" s="10">
        <f>=COUNTIFS($D$16:$D$72, A13, $F$16:$F$72, "Completed")</f>
        <v>0</v>
      </c>
      <c r="D13" s="10">
        <f>=B13-C13-E13</f>
        <v>5</v>
      </c>
      <c r="E13" s="10">
        <f>=COUNTIFS($D$16:$D$72, A13, $F$16:$F$72, "Blocked")</f>
        <v>0</v>
      </c>
      <c r="F13" s="11">
        <f>=IF(B13&gt;0, C13/B13, 0)</f>
        <v>0</v>
      </c>
      <c r="H13" s="9" t="s">
        <v>35</v>
      </c>
      <c r="I13" s="10">
        <f>=COUNTIF($B$16:$B$72, H13)</f>
        <v>6</v>
      </c>
      <c r="J13" s="10">
        <f>=COUNTIFS($B$16:$B$72, H13, $F$16:$F$72, "Completed")</f>
        <v>2</v>
      </c>
      <c r="K13" s="10">
        <f>=I13-J13-L13</f>
        <v>4</v>
      </c>
      <c r="L13" s="10">
        <f>=COUNTIFS($B$16:$B$72, H13, $F$16:$F$72, "Blocked")</f>
        <v>0</v>
      </c>
      <c r="M13" s="11">
        <f>=IF(I13&gt;0, J13/I13, 0)</f>
        <v>0.3333333333333333</v>
      </c>
      <c r="O13" s="9" t="s">
        <v>36</v>
      </c>
      <c r="P13" s="10">
        <f>=COUNTIF($H$16:$H$72, O13)</f>
        <v>11</v>
      </c>
      <c r="Q13" s="10">
        <f>=COUNTIFS($H$16:$H$72, O13, $F$16:$F$72, "Completed")</f>
        <v>0</v>
      </c>
      <c r="R13" s="11">
        <f>=IF(P13&gt;0, Q13/P13, 0)</f>
        <v>0</v>
      </c>
    </row>
    <row r="14" spans="1:18" x14ac:dyDescent="0.25">
      <c r="H14" s="6" t="s">
        <v>37</v>
      </c>
      <c r="I14" s="7">
        <f>=COUNTIF($B$16:$B$72, H14)</f>
        <v>4</v>
      </c>
      <c r="J14" s="7">
        <f>=COUNTIFS($B$16:$B$72, H14, $F$16:$F$72, "Completed")</f>
        <v>3</v>
      </c>
      <c r="K14" s="7">
        <f>=I14-J14-L14</f>
        <v>1</v>
      </c>
      <c r="L14" s="7">
        <f>=COUNTIFS($B$16:$B$72, H14, $F$16:$F$72, "Blocked")</f>
        <v>0</v>
      </c>
      <c r="M14" s="8">
        <f>=IF(I14&gt;0, J14/I14, 0)</f>
        <v>0.75</v>
      </c>
      <c r="O14" s="6" t="s">
        <v>38</v>
      </c>
      <c r="P14" s="7">
        <f>=COUNTIF($H$16:$H$72, O14)</f>
        <v>11</v>
      </c>
      <c r="Q14" s="7">
        <f>=COUNTIFS($H$16:$H$72, O14, $F$16:$F$72, "Completed")</f>
        <v>0</v>
      </c>
      <c r="R14" s="8">
        <f>=IF(P14&gt;0, Q14/P14, 0)</f>
        <v>0</v>
      </c>
    </row>
    <row r="15" ht="26" customHeight="1" spans="1:18" x14ac:dyDescent="0.25">
      <c r="A15" s="12" t="s">
        <v>39</v>
      </c>
      <c r="B15" s="12" t="s">
        <v>40</v>
      </c>
      <c r="C15" s="12" t="s">
        <v>41</v>
      </c>
      <c r="D15" s="12" t="s">
        <v>42</v>
      </c>
      <c r="E15" s="12" t="s">
        <v>43</v>
      </c>
      <c r="F15" s="12" t="s">
        <v>44</v>
      </c>
      <c r="G15" s="12" t="s">
        <v>45</v>
      </c>
      <c r="H15" s="12" t="s">
        <v>46</v>
      </c>
      <c r="I15" s="12" t="s">
        <v>47</v>
      </c>
      <c r="J15" s="12" t="s">
        <v>48</v>
      </c>
      <c r="K15" s="12" t="s">
        <v>49</v>
      </c>
      <c r="L15" s="12" t="s">
        <v>50</v>
      </c>
      <c r="O15" s="9" t="s">
        <v>51</v>
      </c>
      <c r="P15" s="10">
        <f>=COUNTIF($H$16:$H$72, O15)</f>
        <v>5</v>
      </c>
      <c r="Q15" s="10">
        <f>=COUNTIFS($H$16:$H$72, O15, $F$16:$F$72, "Completed")</f>
        <v>0</v>
      </c>
      <c r="R15" s="11">
        <f>=IF(P15&gt;0, Q15/P15, 0)</f>
        <v>0</v>
      </c>
    </row>
    <row r="16" spans="1:18" x14ac:dyDescent="0.25">
      <c r="A16" s="13" t="s">
        <v>52</v>
      </c>
      <c r="B16" s="6" t="s">
        <v>37</v>
      </c>
      <c r="C16" s="6" t="s">
        <v>53</v>
      </c>
      <c r="D16" s="6" t="s">
        <v>22</v>
      </c>
      <c r="E16" s="13" t="s">
        <v>54</v>
      </c>
      <c r="F16" s="13" t="s">
        <v>12</v>
      </c>
      <c r="G16" s="14">
        <f>=IF(F16="Completed", 1, IF(F16="In Progress", 0.5, IF(F16="Review", 0.8, 0)))</f>
        <v>1</v>
      </c>
      <c r="H16" s="13" t="s">
        <v>21</v>
      </c>
      <c r="I16" s="13" t="s">
        <v>55</v>
      </c>
      <c r="J16" s="13" t="s">
        <v>12</v>
      </c>
      <c r="K16" s="13" t="s">
        <v>12</v>
      </c>
      <c r="L16" s="6" t="s">
        <v>56</v>
      </c>
    </row>
    <row r="17" spans="1:18" x14ac:dyDescent="0.25">
      <c r="A17" s="15" t="s">
        <v>57</v>
      </c>
      <c r="B17" s="9" t="s">
        <v>37</v>
      </c>
      <c r="C17" s="9" t="s">
        <v>58</v>
      </c>
      <c r="D17" s="9" t="s">
        <v>28</v>
      </c>
      <c r="E17" s="15" t="s">
        <v>59</v>
      </c>
      <c r="F17" s="15" t="s">
        <v>12</v>
      </c>
      <c r="G17" s="16">
        <f>=IF(F17="Completed", 1, IF(F17="In Progress", 0.5, IF(F17="Review", 0.8, 0)))</f>
        <v>1</v>
      </c>
      <c r="H17" s="15" t="s">
        <v>21</v>
      </c>
      <c r="I17" s="15" t="s">
        <v>55</v>
      </c>
      <c r="J17" s="15" t="s">
        <v>12</v>
      </c>
      <c r="K17" s="15" t="s">
        <v>12</v>
      </c>
      <c r="L17" s="9" t="s">
        <v>60</v>
      </c>
    </row>
    <row r="18" spans="1:18" x14ac:dyDescent="0.25">
      <c r="A18" s="13" t="s">
        <v>61</v>
      </c>
      <c r="B18" s="6" t="s">
        <v>37</v>
      </c>
      <c r="C18" s="6" t="s">
        <v>62</v>
      </c>
      <c r="D18" s="6" t="s">
        <v>28</v>
      </c>
      <c r="E18" s="13" t="s">
        <v>63</v>
      </c>
      <c r="F18" s="13" t="s">
        <v>12</v>
      </c>
      <c r="G18" s="14">
        <f>=IF(F18="Completed", 1, IF(F18="In Progress", 0.5, IF(F18="Review", 0.8, 0)))</f>
        <v>1</v>
      </c>
      <c r="H18" s="13" t="s">
        <v>24</v>
      </c>
      <c r="I18" s="13" t="s">
        <v>57</v>
      </c>
      <c r="J18" s="13" t="s">
        <v>12</v>
      </c>
      <c r="K18" s="13" t="s">
        <v>12</v>
      </c>
      <c r="L18" s="6" t="s">
        <v>64</v>
      </c>
    </row>
    <row r="19" spans="1:18" x14ac:dyDescent="0.25">
      <c r="A19" s="15" t="s">
        <v>65</v>
      </c>
      <c r="B19" s="9" t="s">
        <v>37</v>
      </c>
      <c r="C19" s="9" t="s">
        <v>66</v>
      </c>
      <c r="D19" s="9" t="s">
        <v>22</v>
      </c>
      <c r="E19" s="15" t="s">
        <v>63</v>
      </c>
      <c r="F19" s="15" t="s">
        <v>67</v>
      </c>
      <c r="G19" s="16">
        <f>=IF(F19="Completed", 1, IF(F19="In Progress", 0.5, IF(F19="Review", 0.8, 0)))</f>
        <v>0</v>
      </c>
      <c r="H19" s="15" t="s">
        <v>51</v>
      </c>
      <c r="I19" s="15" t="s">
        <v>55</v>
      </c>
      <c r="J19" s="15" t="s">
        <v>13</v>
      </c>
      <c r="K19" s="15" t="s">
        <v>13</v>
      </c>
      <c r="L19" s="9" t="s">
        <v>68</v>
      </c>
    </row>
    <row r="20" spans="1:18" x14ac:dyDescent="0.25">
      <c r="A20" s="13" t="s">
        <v>69</v>
      </c>
      <c r="B20" s="6" t="s">
        <v>23</v>
      </c>
      <c r="C20" s="6" t="s">
        <v>70</v>
      </c>
      <c r="D20" s="6" t="s">
        <v>22</v>
      </c>
      <c r="E20" s="13" t="s">
        <v>59</v>
      </c>
      <c r="F20" s="13" t="s">
        <v>12</v>
      </c>
      <c r="G20" s="14">
        <f>=IF(F20="Completed", 1, IF(F20="In Progress", 0.5, IF(F20="Review", 0.8, 0)))</f>
        <v>1</v>
      </c>
      <c r="H20" s="13" t="s">
        <v>21</v>
      </c>
      <c r="I20" s="13" t="s">
        <v>55</v>
      </c>
      <c r="J20" s="13" t="s">
        <v>12</v>
      </c>
      <c r="K20" s="13" t="s">
        <v>12</v>
      </c>
      <c r="L20" s="6" t="s">
        <v>71</v>
      </c>
    </row>
    <row r="21" spans="1:18" x14ac:dyDescent="0.25">
      <c r="A21" s="15" t="s">
        <v>72</v>
      </c>
      <c r="B21" s="9" t="s">
        <v>23</v>
      </c>
      <c r="C21" s="9" t="s">
        <v>73</v>
      </c>
      <c r="D21" s="9" t="s">
        <v>22</v>
      </c>
      <c r="E21" s="15" t="s">
        <v>59</v>
      </c>
      <c r="F21" s="15" t="s">
        <v>12</v>
      </c>
      <c r="G21" s="16">
        <f>=IF(F21="Completed", 1, IF(F21="In Progress", 0.5, IF(F21="Review", 0.8, 0)))</f>
        <v>1</v>
      </c>
      <c r="H21" s="15" t="s">
        <v>21</v>
      </c>
      <c r="I21" s="15" t="s">
        <v>69</v>
      </c>
      <c r="J21" s="15" t="s">
        <v>12</v>
      </c>
      <c r="K21" s="15" t="s">
        <v>12</v>
      </c>
      <c r="L21" s="9" t="s">
        <v>74</v>
      </c>
    </row>
    <row r="22" spans="1:18" x14ac:dyDescent="0.25">
      <c r="A22" s="13" t="s">
        <v>75</v>
      </c>
      <c r="B22" s="6" t="s">
        <v>23</v>
      </c>
      <c r="C22" s="6" t="s">
        <v>76</v>
      </c>
      <c r="D22" s="6" t="s">
        <v>22</v>
      </c>
      <c r="E22" s="13" t="s">
        <v>59</v>
      </c>
      <c r="F22" s="13" t="s">
        <v>12</v>
      </c>
      <c r="G22" s="14">
        <f>=IF(F22="Completed", 1, IF(F22="In Progress", 0.5, IF(F22="Review", 0.8, 0)))</f>
        <v>1</v>
      </c>
      <c r="H22" s="13" t="s">
        <v>24</v>
      </c>
      <c r="I22" s="13" t="s">
        <v>69</v>
      </c>
      <c r="J22" s="13" t="s">
        <v>12</v>
      </c>
      <c r="K22" s="13" t="s">
        <v>12</v>
      </c>
      <c r="L22" s="6" t="s">
        <v>77</v>
      </c>
    </row>
    <row r="23" spans="1:18" x14ac:dyDescent="0.25">
      <c r="A23" s="15" t="s">
        <v>78</v>
      </c>
      <c r="B23" s="9" t="s">
        <v>23</v>
      </c>
      <c r="C23" s="9" t="s">
        <v>79</v>
      </c>
      <c r="D23" s="9" t="s">
        <v>22</v>
      </c>
      <c r="E23" s="15" t="s">
        <v>59</v>
      </c>
      <c r="F23" s="15" t="s">
        <v>12</v>
      </c>
      <c r="G23" s="16">
        <f>=IF(F23="Completed", 1, IF(F23="In Progress", 0.5, IF(F23="Review", 0.8, 0)))</f>
        <v>1</v>
      </c>
      <c r="H23" s="15" t="s">
        <v>24</v>
      </c>
      <c r="I23" s="15" t="s">
        <v>75</v>
      </c>
      <c r="J23" s="15" t="s">
        <v>12</v>
      </c>
      <c r="K23" s="15" t="s">
        <v>12</v>
      </c>
      <c r="L23" s="9" t="s">
        <v>80</v>
      </c>
    </row>
    <row r="24" spans="1:18" x14ac:dyDescent="0.25">
      <c r="A24" s="13" t="s">
        <v>81</v>
      </c>
      <c r="B24" s="6" t="s">
        <v>23</v>
      </c>
      <c r="C24" s="6" t="s">
        <v>82</v>
      </c>
      <c r="D24" s="6" t="s">
        <v>22</v>
      </c>
      <c r="E24" s="13" t="s">
        <v>59</v>
      </c>
      <c r="F24" s="13" t="s">
        <v>12</v>
      </c>
      <c r="G24" s="14">
        <f>=IF(F24="Completed", 1, IF(F24="In Progress", 0.5, IF(F24="Review", 0.8, 0)))</f>
        <v>1</v>
      </c>
      <c r="H24" s="13" t="s">
        <v>24</v>
      </c>
      <c r="I24" s="13" t="s">
        <v>55</v>
      </c>
      <c r="J24" s="13" t="s">
        <v>12</v>
      </c>
      <c r="K24" s="13" t="s">
        <v>12</v>
      </c>
      <c r="L24" s="6" t="s">
        <v>83</v>
      </c>
    </row>
    <row r="25" spans="1:18" x14ac:dyDescent="0.25">
      <c r="A25" s="15" t="s">
        <v>84</v>
      </c>
      <c r="B25" s="9" t="s">
        <v>23</v>
      </c>
      <c r="C25" s="9" t="s">
        <v>85</v>
      </c>
      <c r="D25" s="9" t="s">
        <v>22</v>
      </c>
      <c r="E25" s="15" t="s">
        <v>59</v>
      </c>
      <c r="F25" s="15" t="s">
        <v>12</v>
      </c>
      <c r="G25" s="16">
        <f>=IF(F25="Completed", 1, IF(F25="In Progress", 0.5, IF(F25="Review", 0.8, 0)))</f>
        <v>1</v>
      </c>
      <c r="H25" s="15" t="s">
        <v>27</v>
      </c>
      <c r="I25" s="15" t="s">
        <v>78</v>
      </c>
      <c r="J25" s="15" t="s">
        <v>12</v>
      </c>
      <c r="K25" s="15" t="s">
        <v>12</v>
      </c>
      <c r="L25" s="9" t="s">
        <v>86</v>
      </c>
    </row>
    <row r="26" spans="1:18" x14ac:dyDescent="0.25">
      <c r="A26" s="13" t="s">
        <v>87</v>
      </c>
      <c r="B26" s="6" t="s">
        <v>23</v>
      </c>
      <c r="C26" s="6" t="s">
        <v>88</v>
      </c>
      <c r="D26" s="6" t="s">
        <v>22</v>
      </c>
      <c r="E26" s="13" t="s">
        <v>59</v>
      </c>
      <c r="F26" s="13" t="s">
        <v>12</v>
      </c>
      <c r="G26" s="14">
        <f>=IF(F26="Completed", 1, IF(F26="In Progress", 0.5, IF(F26="Review", 0.8, 0)))</f>
        <v>1</v>
      </c>
      <c r="H26" s="13" t="s">
        <v>27</v>
      </c>
      <c r="I26" s="13" t="s">
        <v>78</v>
      </c>
      <c r="J26" s="13" t="s">
        <v>12</v>
      </c>
      <c r="K26" s="13" t="s">
        <v>12</v>
      </c>
      <c r="L26" s="6" t="s">
        <v>89</v>
      </c>
    </row>
    <row r="27" spans="1:18" x14ac:dyDescent="0.25">
      <c r="A27" s="15" t="s">
        <v>90</v>
      </c>
      <c r="B27" s="9" t="s">
        <v>23</v>
      </c>
      <c r="C27" s="9" t="s">
        <v>91</v>
      </c>
      <c r="D27" s="9" t="s">
        <v>22</v>
      </c>
      <c r="E27" s="15" t="s">
        <v>59</v>
      </c>
      <c r="F27" s="15" t="s">
        <v>92</v>
      </c>
      <c r="G27" s="16">
        <f>=IF(F27="Completed", 1, IF(F27="In Progress", 0.5, IF(F27="Review", 0.8, 0)))</f>
        <v>0.5</v>
      </c>
      <c r="H27" s="15" t="s">
        <v>30</v>
      </c>
      <c r="I27" s="15" t="s">
        <v>87</v>
      </c>
      <c r="J27" s="15" t="s">
        <v>13</v>
      </c>
      <c r="K27" s="15" t="s">
        <v>13</v>
      </c>
      <c r="L27" s="9" t="s">
        <v>93</v>
      </c>
    </row>
    <row r="28" spans="1:18" x14ac:dyDescent="0.25">
      <c r="A28" s="13" t="s">
        <v>94</v>
      </c>
      <c r="B28" s="6" t="s">
        <v>23</v>
      </c>
      <c r="C28" s="6" t="s">
        <v>95</v>
      </c>
      <c r="D28" s="6" t="s">
        <v>22</v>
      </c>
      <c r="E28" s="13" t="s">
        <v>63</v>
      </c>
      <c r="F28" s="13" t="s">
        <v>92</v>
      </c>
      <c r="G28" s="14">
        <f>=IF(F28="Completed", 1, IF(F28="In Progress", 0.5, IF(F28="Review", 0.8, 0)))</f>
        <v>0.5</v>
      </c>
      <c r="H28" s="13" t="s">
        <v>30</v>
      </c>
      <c r="I28" s="13" t="s">
        <v>81</v>
      </c>
      <c r="J28" s="13" t="s">
        <v>13</v>
      </c>
      <c r="K28" s="13" t="s">
        <v>13</v>
      </c>
      <c r="L28" s="6" t="s">
        <v>96</v>
      </c>
    </row>
    <row r="29" spans="1:18" x14ac:dyDescent="0.25">
      <c r="A29" s="15" t="s">
        <v>97</v>
      </c>
      <c r="B29" s="9" t="s">
        <v>23</v>
      </c>
      <c r="C29" s="9" t="s">
        <v>98</v>
      </c>
      <c r="D29" s="9" t="s">
        <v>22</v>
      </c>
      <c r="E29" s="15" t="s">
        <v>63</v>
      </c>
      <c r="F29" s="15" t="s">
        <v>67</v>
      </c>
      <c r="G29" s="16">
        <f>=IF(F29="Completed", 1, IF(F29="In Progress", 0.5, IF(F29="Review", 0.8, 0)))</f>
        <v>0</v>
      </c>
      <c r="H29" s="15" t="s">
        <v>36</v>
      </c>
      <c r="I29" s="15" t="s">
        <v>90</v>
      </c>
      <c r="J29" s="15" t="s">
        <v>13</v>
      </c>
      <c r="K29" s="15" t="s">
        <v>13</v>
      </c>
      <c r="L29" s="9" t="s">
        <v>99</v>
      </c>
    </row>
    <row r="30" spans="1:18" x14ac:dyDescent="0.25">
      <c r="A30" s="13" t="s">
        <v>100</v>
      </c>
      <c r="B30" s="6" t="s">
        <v>23</v>
      </c>
      <c r="C30" s="6" t="s">
        <v>101</v>
      </c>
      <c r="D30" s="6" t="s">
        <v>22</v>
      </c>
      <c r="E30" s="13" t="s">
        <v>59</v>
      </c>
      <c r="F30" s="13" t="s">
        <v>67</v>
      </c>
      <c r="G30" s="14">
        <f>=IF(F30="Completed", 1, IF(F30="In Progress", 0.5, IF(F30="Review", 0.8, 0)))</f>
        <v>0</v>
      </c>
      <c r="H30" s="13" t="s">
        <v>33</v>
      </c>
      <c r="I30" s="13" t="s">
        <v>78</v>
      </c>
      <c r="J30" s="13" t="s">
        <v>13</v>
      </c>
      <c r="K30" s="13" t="s">
        <v>13</v>
      </c>
      <c r="L30" s="6" t="s">
        <v>102</v>
      </c>
    </row>
    <row r="31" spans="1:18" x14ac:dyDescent="0.25">
      <c r="A31" s="15" t="s">
        <v>103</v>
      </c>
      <c r="B31" s="9" t="s">
        <v>23</v>
      </c>
      <c r="C31" s="9" t="s">
        <v>104</v>
      </c>
      <c r="D31" s="9" t="s">
        <v>22</v>
      </c>
      <c r="E31" s="15" t="s">
        <v>59</v>
      </c>
      <c r="F31" s="15" t="s">
        <v>67</v>
      </c>
      <c r="G31" s="16">
        <f>=IF(F31="Completed", 1, IF(F31="In Progress", 0.5, IF(F31="Review", 0.8, 0)))</f>
        <v>0</v>
      </c>
      <c r="H31" s="15" t="s">
        <v>33</v>
      </c>
      <c r="I31" s="15" t="s">
        <v>100</v>
      </c>
      <c r="J31" s="15" t="s">
        <v>13</v>
      </c>
      <c r="K31" s="15" t="s">
        <v>13</v>
      </c>
      <c r="L31" s="9" t="s">
        <v>105</v>
      </c>
    </row>
    <row r="32" spans="1:18" x14ac:dyDescent="0.25">
      <c r="A32" s="13" t="s">
        <v>106</v>
      </c>
      <c r="B32" s="6" t="s">
        <v>23</v>
      </c>
      <c r="C32" s="6" t="s">
        <v>107</v>
      </c>
      <c r="D32" s="6" t="s">
        <v>22</v>
      </c>
      <c r="E32" s="13" t="s">
        <v>63</v>
      </c>
      <c r="F32" s="13" t="s">
        <v>67</v>
      </c>
      <c r="G32" s="14">
        <f>=IF(F32="Completed", 1, IF(F32="In Progress", 0.5, IF(F32="Review", 0.8, 0)))</f>
        <v>0</v>
      </c>
      <c r="H32" s="13" t="s">
        <v>36</v>
      </c>
      <c r="I32" s="13" t="s">
        <v>81</v>
      </c>
      <c r="J32" s="13" t="s">
        <v>13</v>
      </c>
      <c r="K32" s="13" t="s">
        <v>13</v>
      </c>
      <c r="L32" s="6" t="s">
        <v>108</v>
      </c>
    </row>
    <row r="33" spans="1:18" x14ac:dyDescent="0.25">
      <c r="A33" s="15" t="s">
        <v>109</v>
      </c>
      <c r="B33" s="9" t="s">
        <v>23</v>
      </c>
      <c r="C33" s="9" t="s">
        <v>110</v>
      </c>
      <c r="D33" s="9" t="s">
        <v>22</v>
      </c>
      <c r="E33" s="15" t="s">
        <v>59</v>
      </c>
      <c r="F33" s="15" t="s">
        <v>67</v>
      </c>
      <c r="G33" s="16">
        <f>=IF(F33="Completed", 1, IF(F33="In Progress", 0.5, IF(F33="Review", 0.8, 0)))</f>
        <v>0</v>
      </c>
      <c r="H33" s="15" t="s">
        <v>36</v>
      </c>
      <c r="I33" s="15" t="s">
        <v>78</v>
      </c>
      <c r="J33" s="15" t="s">
        <v>13</v>
      </c>
      <c r="K33" s="15" t="s">
        <v>13</v>
      </c>
      <c r="L33" s="9" t="s">
        <v>111</v>
      </c>
    </row>
    <row r="34" spans="1:18" x14ac:dyDescent="0.25">
      <c r="A34" s="13" t="s">
        <v>112</v>
      </c>
      <c r="B34" s="6" t="s">
        <v>23</v>
      </c>
      <c r="C34" s="6" t="s">
        <v>113</v>
      </c>
      <c r="D34" s="6" t="s">
        <v>22</v>
      </c>
      <c r="E34" s="13" t="s">
        <v>63</v>
      </c>
      <c r="F34" s="13" t="s">
        <v>67</v>
      </c>
      <c r="G34" s="14">
        <f>=IF(F34="Completed", 1, IF(F34="In Progress", 0.5, IF(F34="Review", 0.8, 0)))</f>
        <v>0</v>
      </c>
      <c r="H34" s="13" t="s">
        <v>38</v>
      </c>
      <c r="I34" s="13" t="s">
        <v>81</v>
      </c>
      <c r="J34" s="13" t="s">
        <v>13</v>
      </c>
      <c r="K34" s="13" t="s">
        <v>13</v>
      </c>
      <c r="L34" s="6" t="s">
        <v>114</v>
      </c>
    </row>
    <row r="35" spans="1:18" x14ac:dyDescent="0.25">
      <c r="A35" s="15" t="s">
        <v>115</v>
      </c>
      <c r="B35" s="9" t="s">
        <v>23</v>
      </c>
      <c r="C35" s="9" t="s">
        <v>116</v>
      </c>
      <c r="D35" s="9" t="s">
        <v>22</v>
      </c>
      <c r="E35" s="15" t="s">
        <v>63</v>
      </c>
      <c r="F35" s="15" t="s">
        <v>67</v>
      </c>
      <c r="G35" s="16">
        <f>=IF(F35="Completed", 1, IF(F35="In Progress", 0.5, IF(F35="Review", 0.8, 0)))</f>
        <v>0</v>
      </c>
      <c r="H35" s="15" t="s">
        <v>38</v>
      </c>
      <c r="I35" s="15" t="s">
        <v>109</v>
      </c>
      <c r="J35" s="15" t="s">
        <v>13</v>
      </c>
      <c r="K35" s="15" t="s">
        <v>13</v>
      </c>
      <c r="L35" s="9" t="s">
        <v>117</v>
      </c>
    </row>
    <row r="36" spans="1:18" x14ac:dyDescent="0.25">
      <c r="A36" s="13" t="s">
        <v>118</v>
      </c>
      <c r="B36" s="6" t="s">
        <v>23</v>
      </c>
      <c r="C36" s="6" t="s">
        <v>119</v>
      </c>
      <c r="D36" s="6" t="s">
        <v>22</v>
      </c>
      <c r="E36" s="13" t="s">
        <v>59</v>
      </c>
      <c r="F36" s="13" t="s">
        <v>67</v>
      </c>
      <c r="G36" s="14">
        <f>=IF(F36="Completed", 1, IF(F36="In Progress", 0.5, IF(F36="Review", 0.8, 0)))</f>
        <v>0</v>
      </c>
      <c r="H36" s="13" t="s">
        <v>38</v>
      </c>
      <c r="I36" s="13" t="s">
        <v>112</v>
      </c>
      <c r="J36" s="13" t="s">
        <v>13</v>
      </c>
      <c r="K36" s="13" t="s">
        <v>13</v>
      </c>
      <c r="L36" s="6" t="s">
        <v>120</v>
      </c>
    </row>
    <row r="37" spans="1:18" x14ac:dyDescent="0.25">
      <c r="A37" s="15" t="s">
        <v>121</v>
      </c>
      <c r="B37" s="9" t="s">
        <v>23</v>
      </c>
      <c r="C37" s="9" t="s">
        <v>122</v>
      </c>
      <c r="D37" s="9" t="s">
        <v>22</v>
      </c>
      <c r="E37" s="15" t="s">
        <v>59</v>
      </c>
      <c r="F37" s="15" t="s">
        <v>67</v>
      </c>
      <c r="G37" s="16">
        <f>=IF(F37="Completed", 1, IF(F37="In Progress", 0.5, IF(F37="Review", 0.8, 0)))</f>
        <v>0</v>
      </c>
      <c r="H37" s="15" t="s">
        <v>51</v>
      </c>
      <c r="I37" s="15" t="s">
        <v>118</v>
      </c>
      <c r="J37" s="15" t="s">
        <v>13</v>
      </c>
      <c r="K37" s="15" t="s">
        <v>13</v>
      </c>
      <c r="L37" s="9" t="s">
        <v>123</v>
      </c>
    </row>
    <row r="38" spans="1:18" x14ac:dyDescent="0.25">
      <c r="A38" s="13" t="s">
        <v>124</v>
      </c>
      <c r="B38" s="6" t="s">
        <v>20</v>
      </c>
      <c r="C38" s="6" t="s">
        <v>125</v>
      </c>
      <c r="D38" s="6" t="s">
        <v>28</v>
      </c>
      <c r="E38" s="13" t="s">
        <v>54</v>
      </c>
      <c r="F38" s="13" t="s">
        <v>12</v>
      </c>
      <c r="G38" s="14">
        <f>=IF(F38="Completed", 1, IF(F38="In Progress", 0.5, IF(F38="Review", 0.8, 0)))</f>
        <v>1</v>
      </c>
      <c r="H38" s="13" t="s">
        <v>24</v>
      </c>
      <c r="I38" s="13" t="s">
        <v>57</v>
      </c>
      <c r="J38" s="13" t="s">
        <v>12</v>
      </c>
      <c r="K38" s="13" t="s">
        <v>12</v>
      </c>
      <c r="L38" s="6" t="s">
        <v>126</v>
      </c>
    </row>
    <row r="39" spans="1:18" x14ac:dyDescent="0.25">
      <c r="A39" s="15" t="s">
        <v>127</v>
      </c>
      <c r="B39" s="9" t="s">
        <v>20</v>
      </c>
      <c r="C39" s="9" t="s">
        <v>128</v>
      </c>
      <c r="D39" s="9" t="s">
        <v>28</v>
      </c>
      <c r="E39" s="15" t="s">
        <v>54</v>
      </c>
      <c r="F39" s="15" t="s">
        <v>12</v>
      </c>
      <c r="G39" s="16">
        <f>=IF(F39="Completed", 1, IF(F39="In Progress", 0.5, IF(F39="Review", 0.8, 0)))</f>
        <v>1</v>
      </c>
      <c r="H39" s="15" t="s">
        <v>27</v>
      </c>
      <c r="I39" s="15" t="s">
        <v>124</v>
      </c>
      <c r="J39" s="15" t="s">
        <v>12</v>
      </c>
      <c r="K39" s="15" t="s">
        <v>12</v>
      </c>
      <c r="L39" s="9" t="s">
        <v>129</v>
      </c>
    </row>
    <row r="40" spans="1:18" x14ac:dyDescent="0.25">
      <c r="A40" s="13" t="s">
        <v>130</v>
      </c>
      <c r="B40" s="6" t="s">
        <v>20</v>
      </c>
      <c r="C40" s="6" t="s">
        <v>131</v>
      </c>
      <c r="D40" s="6" t="s">
        <v>28</v>
      </c>
      <c r="E40" s="13" t="s">
        <v>54</v>
      </c>
      <c r="F40" s="13" t="s">
        <v>12</v>
      </c>
      <c r="G40" s="14">
        <f>=IF(F40="Completed", 1, IF(F40="In Progress", 0.5, IF(F40="Review", 0.8, 0)))</f>
        <v>1</v>
      </c>
      <c r="H40" s="13" t="s">
        <v>27</v>
      </c>
      <c r="I40" s="13" t="s">
        <v>127</v>
      </c>
      <c r="J40" s="13" t="s">
        <v>12</v>
      </c>
      <c r="K40" s="13" t="s">
        <v>12</v>
      </c>
      <c r="L40" s="6" t="s">
        <v>132</v>
      </c>
    </row>
    <row r="41" spans="1:18" x14ac:dyDescent="0.25">
      <c r="A41" s="15" t="s">
        <v>133</v>
      </c>
      <c r="B41" s="9" t="s">
        <v>20</v>
      </c>
      <c r="C41" s="9" t="s">
        <v>134</v>
      </c>
      <c r="D41" s="9" t="s">
        <v>28</v>
      </c>
      <c r="E41" s="15" t="s">
        <v>59</v>
      </c>
      <c r="F41" s="15" t="s">
        <v>135</v>
      </c>
      <c r="G41" s="16">
        <f>=IF(F41="Completed", 1, IF(F41="In Progress", 0.5, IF(F41="Review", 0.8, 0)))</f>
        <v>0.8</v>
      </c>
      <c r="H41" s="15" t="s">
        <v>30</v>
      </c>
      <c r="I41" s="15" t="s">
        <v>130</v>
      </c>
      <c r="J41" s="15" t="s">
        <v>12</v>
      </c>
      <c r="K41" s="15" t="s">
        <v>13</v>
      </c>
      <c r="L41" s="9" t="s">
        <v>136</v>
      </c>
    </row>
    <row r="42" spans="1:18" x14ac:dyDescent="0.25">
      <c r="A42" s="13" t="s">
        <v>137</v>
      </c>
      <c r="B42" s="6" t="s">
        <v>20</v>
      </c>
      <c r="C42" s="6" t="s">
        <v>138</v>
      </c>
      <c r="D42" s="6" t="s">
        <v>28</v>
      </c>
      <c r="E42" s="13" t="s">
        <v>63</v>
      </c>
      <c r="F42" s="13" t="s">
        <v>135</v>
      </c>
      <c r="G42" s="14">
        <f>=IF(F42="Completed", 1, IF(F42="In Progress", 0.5, IF(F42="Review", 0.8, 0)))</f>
        <v>0.8</v>
      </c>
      <c r="H42" s="13" t="s">
        <v>30</v>
      </c>
      <c r="I42" s="13" t="s">
        <v>130</v>
      </c>
      <c r="J42" s="13" t="s">
        <v>12</v>
      </c>
      <c r="K42" s="13" t="s">
        <v>13</v>
      </c>
      <c r="L42" s="6" t="s">
        <v>139</v>
      </c>
    </row>
    <row r="43" spans="1:18" x14ac:dyDescent="0.25">
      <c r="A43" s="15" t="s">
        <v>140</v>
      </c>
      <c r="B43" s="9" t="s">
        <v>20</v>
      </c>
      <c r="C43" s="9" t="s">
        <v>141</v>
      </c>
      <c r="D43" s="9" t="s">
        <v>28</v>
      </c>
      <c r="E43" s="15" t="s">
        <v>59</v>
      </c>
      <c r="F43" s="15" t="s">
        <v>67</v>
      </c>
      <c r="G43" s="16">
        <f>=IF(F43="Completed", 1, IF(F43="In Progress", 0.5, IF(F43="Review", 0.8, 0)))</f>
        <v>0</v>
      </c>
      <c r="H43" s="15" t="s">
        <v>33</v>
      </c>
      <c r="I43" s="15" t="s">
        <v>130</v>
      </c>
      <c r="J43" s="15" t="s">
        <v>13</v>
      </c>
      <c r="K43" s="15" t="s">
        <v>13</v>
      </c>
      <c r="L43" s="9" t="s">
        <v>142</v>
      </c>
    </row>
    <row r="44" spans="1:18" x14ac:dyDescent="0.25">
      <c r="A44" s="13" t="s">
        <v>143</v>
      </c>
      <c r="B44" s="6" t="s">
        <v>20</v>
      </c>
      <c r="C44" s="6" t="s">
        <v>144</v>
      </c>
      <c r="D44" s="6" t="s">
        <v>28</v>
      </c>
      <c r="E44" s="13" t="s">
        <v>63</v>
      </c>
      <c r="F44" s="13" t="s">
        <v>67</v>
      </c>
      <c r="G44" s="14">
        <f>=IF(F44="Completed", 1, IF(F44="In Progress", 0.5, IF(F44="Review", 0.8, 0)))</f>
        <v>0</v>
      </c>
      <c r="H44" s="13" t="s">
        <v>36</v>
      </c>
      <c r="I44" s="13" t="s">
        <v>133</v>
      </c>
      <c r="J44" s="13" t="s">
        <v>13</v>
      </c>
      <c r="K44" s="13" t="s">
        <v>13</v>
      </c>
      <c r="L44" s="6" t="s">
        <v>145</v>
      </c>
    </row>
    <row r="45" spans="1:18" x14ac:dyDescent="0.25">
      <c r="A45" s="15" t="s">
        <v>146</v>
      </c>
      <c r="B45" s="9" t="s">
        <v>20</v>
      </c>
      <c r="C45" s="9" t="s">
        <v>147</v>
      </c>
      <c r="D45" s="9" t="s">
        <v>28</v>
      </c>
      <c r="E45" s="15" t="s">
        <v>59</v>
      </c>
      <c r="F45" s="15" t="s">
        <v>67</v>
      </c>
      <c r="G45" s="16">
        <f>=IF(F45="Completed", 1, IF(F45="In Progress", 0.5, IF(F45="Review", 0.8, 0)))</f>
        <v>0</v>
      </c>
      <c r="H45" s="15" t="s">
        <v>36</v>
      </c>
      <c r="I45" s="15" t="s">
        <v>130</v>
      </c>
      <c r="J45" s="15" t="s">
        <v>13</v>
      </c>
      <c r="K45" s="15" t="s">
        <v>13</v>
      </c>
      <c r="L45" s="9" t="s">
        <v>148</v>
      </c>
    </row>
    <row r="46" spans="1:18" x14ac:dyDescent="0.25">
      <c r="A46" s="13" t="s">
        <v>149</v>
      </c>
      <c r="B46" s="6" t="s">
        <v>20</v>
      </c>
      <c r="C46" s="6" t="s">
        <v>150</v>
      </c>
      <c r="D46" s="6" t="s">
        <v>28</v>
      </c>
      <c r="E46" s="13" t="s">
        <v>59</v>
      </c>
      <c r="F46" s="13" t="s">
        <v>67</v>
      </c>
      <c r="G46" s="14">
        <f>=IF(F46="Completed", 1, IF(F46="In Progress", 0.5, IF(F46="Review", 0.8, 0)))</f>
        <v>0</v>
      </c>
      <c r="H46" s="13" t="s">
        <v>38</v>
      </c>
      <c r="I46" s="13" t="s">
        <v>124</v>
      </c>
      <c r="J46" s="13" t="s">
        <v>13</v>
      </c>
      <c r="K46" s="13" t="s">
        <v>13</v>
      </c>
      <c r="L46" s="6" t="s">
        <v>151</v>
      </c>
    </row>
    <row r="47" spans="1:18" x14ac:dyDescent="0.25">
      <c r="A47" s="15" t="s">
        <v>152</v>
      </c>
      <c r="B47" s="9" t="s">
        <v>20</v>
      </c>
      <c r="C47" s="9" t="s">
        <v>153</v>
      </c>
      <c r="D47" s="9" t="s">
        <v>28</v>
      </c>
      <c r="E47" s="15" t="s">
        <v>59</v>
      </c>
      <c r="F47" s="15" t="s">
        <v>67</v>
      </c>
      <c r="G47" s="16">
        <f>=IF(F47="Completed", 1, IF(F47="In Progress", 0.5, IF(F47="Review", 0.8, 0)))</f>
        <v>0</v>
      </c>
      <c r="H47" s="15" t="s">
        <v>38</v>
      </c>
      <c r="I47" s="15" t="s">
        <v>124</v>
      </c>
      <c r="J47" s="15" t="s">
        <v>13</v>
      </c>
      <c r="K47" s="15" t="s">
        <v>13</v>
      </c>
      <c r="L47" s="9" t="s">
        <v>154</v>
      </c>
    </row>
    <row r="48" spans="1:18" x14ac:dyDescent="0.25">
      <c r="A48" s="13" t="s">
        <v>155</v>
      </c>
      <c r="B48" s="6" t="s">
        <v>20</v>
      </c>
      <c r="C48" s="6" t="s">
        <v>156</v>
      </c>
      <c r="D48" s="6" t="s">
        <v>28</v>
      </c>
      <c r="E48" s="13" t="s">
        <v>54</v>
      </c>
      <c r="F48" s="13" t="s">
        <v>67</v>
      </c>
      <c r="G48" s="14">
        <f>=IF(F48="Completed", 1, IF(F48="In Progress", 0.5, IF(F48="Review", 0.8, 0)))</f>
        <v>0</v>
      </c>
      <c r="H48" s="13" t="s">
        <v>38</v>
      </c>
      <c r="I48" s="13" t="s">
        <v>124</v>
      </c>
      <c r="J48" s="13" t="s">
        <v>13</v>
      </c>
      <c r="K48" s="13" t="s">
        <v>13</v>
      </c>
      <c r="L48" s="6" t="s">
        <v>157</v>
      </c>
    </row>
    <row r="49" spans="1:18" x14ac:dyDescent="0.25">
      <c r="A49" s="15" t="s">
        <v>158</v>
      </c>
      <c r="B49" s="9" t="s">
        <v>26</v>
      </c>
      <c r="C49" s="9" t="s">
        <v>159</v>
      </c>
      <c r="D49" s="9" t="s">
        <v>25</v>
      </c>
      <c r="E49" s="15" t="s">
        <v>54</v>
      </c>
      <c r="F49" s="15" t="s">
        <v>12</v>
      </c>
      <c r="G49" s="16">
        <f>=IF(F49="Completed", 1, IF(F49="In Progress", 0.5, IF(F49="Review", 0.8, 0)))</f>
        <v>1</v>
      </c>
      <c r="H49" s="15" t="s">
        <v>21</v>
      </c>
      <c r="I49" s="15" t="s">
        <v>52</v>
      </c>
      <c r="J49" s="15" t="s">
        <v>12</v>
      </c>
      <c r="K49" s="15" t="s">
        <v>12</v>
      </c>
      <c r="L49" s="9" t="s">
        <v>160</v>
      </c>
    </row>
    <row r="50" spans="1:18" x14ac:dyDescent="0.25">
      <c r="A50" s="13" t="s">
        <v>161</v>
      </c>
      <c r="B50" s="6" t="s">
        <v>26</v>
      </c>
      <c r="C50" s="6" t="s">
        <v>162</v>
      </c>
      <c r="D50" s="6" t="s">
        <v>25</v>
      </c>
      <c r="E50" s="13" t="s">
        <v>54</v>
      </c>
      <c r="F50" s="13" t="s">
        <v>12</v>
      </c>
      <c r="G50" s="14">
        <f>=IF(F50="Completed", 1, IF(F50="In Progress", 0.5, IF(F50="Review", 0.8, 0)))</f>
        <v>1</v>
      </c>
      <c r="H50" s="13" t="s">
        <v>24</v>
      </c>
      <c r="I50" s="13" t="s">
        <v>158</v>
      </c>
      <c r="J50" s="13" t="s">
        <v>12</v>
      </c>
      <c r="K50" s="13" t="s">
        <v>12</v>
      </c>
      <c r="L50" s="6" t="s">
        <v>163</v>
      </c>
    </row>
    <row r="51" spans="1:18" x14ac:dyDescent="0.25">
      <c r="A51" s="15" t="s">
        <v>164</v>
      </c>
      <c r="B51" s="9" t="s">
        <v>26</v>
      </c>
      <c r="C51" s="9" t="s">
        <v>165</v>
      </c>
      <c r="D51" s="9" t="s">
        <v>25</v>
      </c>
      <c r="E51" s="15" t="s">
        <v>59</v>
      </c>
      <c r="F51" s="15" t="s">
        <v>12</v>
      </c>
      <c r="G51" s="16">
        <f>=IF(F51="Completed", 1, IF(F51="In Progress", 0.5, IF(F51="Review", 0.8, 0)))</f>
        <v>1</v>
      </c>
      <c r="H51" s="15" t="s">
        <v>30</v>
      </c>
      <c r="I51" s="15" t="s">
        <v>161</v>
      </c>
      <c r="J51" s="15" t="s">
        <v>12</v>
      </c>
      <c r="K51" s="15" t="s">
        <v>12</v>
      </c>
      <c r="L51" s="9" t="s">
        <v>166</v>
      </c>
    </row>
    <row r="52" spans="1:18" x14ac:dyDescent="0.25">
      <c r="A52" s="13" t="s">
        <v>167</v>
      </c>
      <c r="B52" s="6" t="s">
        <v>26</v>
      </c>
      <c r="C52" s="6" t="s">
        <v>168</v>
      </c>
      <c r="D52" s="6" t="s">
        <v>25</v>
      </c>
      <c r="E52" s="13" t="s">
        <v>63</v>
      </c>
      <c r="F52" s="13" t="s">
        <v>12</v>
      </c>
      <c r="G52" s="14">
        <f>=IF(F52="Completed", 1, IF(F52="In Progress", 0.5, IF(F52="Review", 0.8, 0)))</f>
        <v>1</v>
      </c>
      <c r="H52" s="13" t="s">
        <v>30</v>
      </c>
      <c r="I52" s="13" t="s">
        <v>161</v>
      </c>
      <c r="J52" s="13" t="s">
        <v>12</v>
      </c>
      <c r="K52" s="13" t="s">
        <v>12</v>
      </c>
      <c r="L52" s="6" t="s">
        <v>169</v>
      </c>
    </row>
    <row r="53" spans="1:18" x14ac:dyDescent="0.25">
      <c r="A53" s="15" t="s">
        <v>170</v>
      </c>
      <c r="B53" s="9" t="s">
        <v>26</v>
      </c>
      <c r="C53" s="9" t="s">
        <v>171</v>
      </c>
      <c r="D53" s="9" t="s">
        <v>25</v>
      </c>
      <c r="E53" s="15" t="s">
        <v>59</v>
      </c>
      <c r="F53" s="15" t="s">
        <v>67</v>
      </c>
      <c r="G53" s="16">
        <f>=IF(F53="Completed", 1, IF(F53="In Progress", 0.5, IF(F53="Review", 0.8, 0)))</f>
        <v>0</v>
      </c>
      <c r="H53" s="15" t="s">
        <v>38</v>
      </c>
      <c r="I53" s="15" t="s">
        <v>161</v>
      </c>
      <c r="J53" s="15" t="s">
        <v>13</v>
      </c>
      <c r="K53" s="15" t="s">
        <v>13</v>
      </c>
      <c r="L53" s="9" t="s">
        <v>172</v>
      </c>
    </row>
    <row r="54" spans="1:18" x14ac:dyDescent="0.25">
      <c r="A54" s="13" t="s">
        <v>173</v>
      </c>
      <c r="B54" s="6" t="s">
        <v>26</v>
      </c>
      <c r="C54" s="6" t="s">
        <v>174</v>
      </c>
      <c r="D54" s="6" t="s">
        <v>25</v>
      </c>
      <c r="E54" s="13" t="s">
        <v>63</v>
      </c>
      <c r="F54" s="13" t="s">
        <v>67</v>
      </c>
      <c r="G54" s="14">
        <f>=IF(F54="Completed", 1, IF(F54="In Progress", 0.5, IF(F54="Review", 0.8, 0)))</f>
        <v>0</v>
      </c>
      <c r="H54" s="13" t="s">
        <v>38</v>
      </c>
      <c r="I54" s="13" t="s">
        <v>167</v>
      </c>
      <c r="J54" s="13" t="s">
        <v>13</v>
      </c>
      <c r="K54" s="13" t="s">
        <v>13</v>
      </c>
      <c r="L54" s="6" t="s">
        <v>175</v>
      </c>
    </row>
    <row r="55" spans="1:18" x14ac:dyDescent="0.25">
      <c r="A55" s="15" t="s">
        <v>176</v>
      </c>
      <c r="B55" s="9" t="s">
        <v>29</v>
      </c>
      <c r="C55" s="9" t="s">
        <v>177</v>
      </c>
      <c r="D55" s="9" t="s">
        <v>34</v>
      </c>
      <c r="E55" s="15" t="s">
        <v>59</v>
      </c>
      <c r="F55" s="15" t="s">
        <v>67</v>
      </c>
      <c r="G55" s="16">
        <f>=IF(F55="Completed", 1, IF(F55="In Progress", 0.5, IF(F55="Review", 0.8, 0)))</f>
        <v>0</v>
      </c>
      <c r="H55" s="15" t="s">
        <v>36</v>
      </c>
      <c r="I55" s="15" t="s">
        <v>55</v>
      </c>
      <c r="J55" s="15" t="s">
        <v>13</v>
      </c>
      <c r="K55" s="15" t="s">
        <v>13</v>
      </c>
      <c r="L55" s="9" t="s">
        <v>178</v>
      </c>
    </row>
    <row r="56" spans="1:18" x14ac:dyDescent="0.25">
      <c r="A56" s="13" t="s">
        <v>179</v>
      </c>
      <c r="B56" s="6" t="s">
        <v>29</v>
      </c>
      <c r="C56" s="6" t="s">
        <v>180</v>
      </c>
      <c r="D56" s="6" t="s">
        <v>34</v>
      </c>
      <c r="E56" s="13" t="s">
        <v>63</v>
      </c>
      <c r="F56" s="13" t="s">
        <v>67</v>
      </c>
      <c r="G56" s="14">
        <f>=IF(F56="Completed", 1, IF(F56="In Progress", 0.5, IF(F56="Review", 0.8, 0)))</f>
        <v>0</v>
      </c>
      <c r="H56" s="13" t="s">
        <v>36</v>
      </c>
      <c r="I56" s="13" t="s">
        <v>55</v>
      </c>
      <c r="J56" s="13" t="s">
        <v>13</v>
      </c>
      <c r="K56" s="13" t="s">
        <v>13</v>
      </c>
      <c r="L56" s="6" t="s">
        <v>181</v>
      </c>
    </row>
    <row r="57" spans="1:18" x14ac:dyDescent="0.25">
      <c r="A57" s="15" t="s">
        <v>182</v>
      </c>
      <c r="B57" s="9" t="s">
        <v>29</v>
      </c>
      <c r="C57" s="9" t="s">
        <v>183</v>
      </c>
      <c r="D57" s="9" t="s">
        <v>34</v>
      </c>
      <c r="E57" s="15" t="s">
        <v>59</v>
      </c>
      <c r="F57" s="15" t="s">
        <v>67</v>
      </c>
      <c r="G57" s="16">
        <f>=IF(F57="Completed", 1, IF(F57="In Progress", 0.5, IF(F57="Review", 0.8, 0)))</f>
        <v>0</v>
      </c>
      <c r="H57" s="15" t="s">
        <v>36</v>
      </c>
      <c r="I57" s="15" t="s">
        <v>55</v>
      </c>
      <c r="J57" s="15" t="s">
        <v>13</v>
      </c>
      <c r="K57" s="15" t="s">
        <v>13</v>
      </c>
      <c r="L57" s="9" t="s">
        <v>184</v>
      </c>
    </row>
    <row r="58" spans="1:18" x14ac:dyDescent="0.25">
      <c r="A58" s="13" t="s">
        <v>185</v>
      </c>
      <c r="B58" s="6" t="s">
        <v>29</v>
      </c>
      <c r="C58" s="6" t="s">
        <v>186</v>
      </c>
      <c r="D58" s="6" t="s">
        <v>34</v>
      </c>
      <c r="E58" s="13" t="s">
        <v>63</v>
      </c>
      <c r="F58" s="13" t="s">
        <v>67</v>
      </c>
      <c r="G58" s="14">
        <f>=IF(F58="Completed", 1, IF(F58="In Progress", 0.5, IF(F58="Review", 0.8, 0)))</f>
        <v>0</v>
      </c>
      <c r="H58" s="13" t="s">
        <v>36</v>
      </c>
      <c r="I58" s="13" t="s">
        <v>176</v>
      </c>
      <c r="J58" s="13" t="s">
        <v>13</v>
      </c>
      <c r="K58" s="13" t="s">
        <v>13</v>
      </c>
      <c r="L58" s="6" t="s">
        <v>187</v>
      </c>
    </row>
    <row r="59" spans="1:18" x14ac:dyDescent="0.25">
      <c r="A59" s="15" t="s">
        <v>188</v>
      </c>
      <c r="B59" s="9" t="s">
        <v>29</v>
      </c>
      <c r="C59" s="9" t="s">
        <v>189</v>
      </c>
      <c r="D59" s="9" t="s">
        <v>34</v>
      </c>
      <c r="E59" s="15" t="s">
        <v>54</v>
      </c>
      <c r="F59" s="15" t="s">
        <v>67</v>
      </c>
      <c r="G59" s="16">
        <f>=IF(F59="Completed", 1, IF(F59="In Progress", 0.5, IF(F59="Review", 0.8, 0)))</f>
        <v>0</v>
      </c>
      <c r="H59" s="15" t="s">
        <v>33</v>
      </c>
      <c r="I59" s="15" t="s">
        <v>55</v>
      </c>
      <c r="J59" s="15" t="s">
        <v>13</v>
      </c>
      <c r="K59" s="15" t="s">
        <v>13</v>
      </c>
      <c r="L59" s="9" t="s">
        <v>190</v>
      </c>
    </row>
    <row r="60" spans="1:18" x14ac:dyDescent="0.25">
      <c r="A60" s="13" t="s">
        <v>191</v>
      </c>
      <c r="B60" s="6" t="s">
        <v>32</v>
      </c>
      <c r="C60" s="6" t="s">
        <v>192</v>
      </c>
      <c r="D60" s="6" t="s">
        <v>31</v>
      </c>
      <c r="E60" s="13" t="s">
        <v>63</v>
      </c>
      <c r="F60" s="13" t="s">
        <v>67</v>
      </c>
      <c r="G60" s="14">
        <f>=IF(F60="Completed", 1, IF(F60="In Progress", 0.5, IF(F60="Review", 0.8, 0)))</f>
        <v>0</v>
      </c>
      <c r="H60" s="13" t="s">
        <v>33</v>
      </c>
      <c r="I60" s="13" t="s">
        <v>55</v>
      </c>
      <c r="J60" s="13" t="s">
        <v>13</v>
      </c>
      <c r="K60" s="13" t="s">
        <v>13</v>
      </c>
      <c r="L60" s="6" t="s">
        <v>193</v>
      </c>
    </row>
    <row r="61" spans="1:18" x14ac:dyDescent="0.25">
      <c r="A61" s="15" t="s">
        <v>194</v>
      </c>
      <c r="B61" s="9" t="s">
        <v>32</v>
      </c>
      <c r="C61" s="9" t="s">
        <v>195</v>
      </c>
      <c r="D61" s="9" t="s">
        <v>31</v>
      </c>
      <c r="E61" s="15" t="s">
        <v>59</v>
      </c>
      <c r="F61" s="15" t="s">
        <v>67</v>
      </c>
      <c r="G61" s="16">
        <f>=IF(F61="Completed", 1, IF(F61="In Progress", 0.5, IF(F61="Review", 0.8, 0)))</f>
        <v>0</v>
      </c>
      <c r="H61" s="15" t="s">
        <v>33</v>
      </c>
      <c r="I61" s="15" t="s">
        <v>188</v>
      </c>
      <c r="J61" s="15" t="s">
        <v>13</v>
      </c>
      <c r="K61" s="15" t="s">
        <v>13</v>
      </c>
      <c r="L61" s="9" t="s">
        <v>196</v>
      </c>
    </row>
    <row r="62" spans="1:18" x14ac:dyDescent="0.25">
      <c r="A62" s="13" t="s">
        <v>197</v>
      </c>
      <c r="B62" s="6" t="s">
        <v>32</v>
      </c>
      <c r="C62" s="6" t="s">
        <v>198</v>
      </c>
      <c r="D62" s="6" t="s">
        <v>31</v>
      </c>
      <c r="E62" s="13" t="s">
        <v>63</v>
      </c>
      <c r="F62" s="13" t="s">
        <v>67</v>
      </c>
      <c r="G62" s="14">
        <f>=IF(F62="Completed", 1, IF(F62="In Progress", 0.5, IF(F62="Review", 0.8, 0)))</f>
        <v>0</v>
      </c>
      <c r="H62" s="13" t="s">
        <v>33</v>
      </c>
      <c r="I62" s="13" t="s">
        <v>55</v>
      </c>
      <c r="J62" s="13" t="s">
        <v>13</v>
      </c>
      <c r="K62" s="13" t="s">
        <v>13</v>
      </c>
      <c r="L62" s="6" t="s">
        <v>199</v>
      </c>
    </row>
    <row r="63" spans="1:18" x14ac:dyDescent="0.25">
      <c r="A63" s="15" t="s">
        <v>200</v>
      </c>
      <c r="B63" s="9" t="s">
        <v>32</v>
      </c>
      <c r="C63" s="9" t="s">
        <v>201</v>
      </c>
      <c r="D63" s="9" t="s">
        <v>31</v>
      </c>
      <c r="E63" s="15" t="s">
        <v>59</v>
      </c>
      <c r="F63" s="15" t="s">
        <v>67</v>
      </c>
      <c r="G63" s="16">
        <f>=IF(F63="Completed", 1, IF(F63="In Progress", 0.5, IF(F63="Review", 0.8, 0)))</f>
        <v>0</v>
      </c>
      <c r="H63" s="15" t="s">
        <v>36</v>
      </c>
      <c r="I63" s="15" t="s">
        <v>197</v>
      </c>
      <c r="J63" s="15" t="s">
        <v>13</v>
      </c>
      <c r="K63" s="15" t="s">
        <v>13</v>
      </c>
      <c r="L63" s="9" t="s">
        <v>202</v>
      </c>
    </row>
    <row r="64" spans="1:18" x14ac:dyDescent="0.25">
      <c r="A64" s="13" t="s">
        <v>203</v>
      </c>
      <c r="B64" s="6" t="s">
        <v>32</v>
      </c>
      <c r="C64" s="6" t="s">
        <v>204</v>
      </c>
      <c r="D64" s="6" t="s">
        <v>31</v>
      </c>
      <c r="E64" s="13" t="s">
        <v>59</v>
      </c>
      <c r="F64" s="13" t="s">
        <v>67</v>
      </c>
      <c r="G64" s="14">
        <f>=IF(F64="Completed", 1, IF(F64="In Progress", 0.5, IF(F64="Review", 0.8, 0)))</f>
        <v>0</v>
      </c>
      <c r="H64" s="13" t="s">
        <v>36</v>
      </c>
      <c r="I64" s="13" t="s">
        <v>194</v>
      </c>
      <c r="J64" s="13" t="s">
        <v>13</v>
      </c>
      <c r="K64" s="13" t="s">
        <v>13</v>
      </c>
      <c r="L64" s="6" t="s">
        <v>205</v>
      </c>
    </row>
    <row r="65" spans="1:18" x14ac:dyDescent="0.25">
      <c r="A65" s="15" t="s">
        <v>206</v>
      </c>
      <c r="B65" s="9" t="s">
        <v>32</v>
      </c>
      <c r="C65" s="9" t="s">
        <v>207</v>
      </c>
      <c r="D65" s="9" t="s">
        <v>31</v>
      </c>
      <c r="E65" s="15" t="s">
        <v>63</v>
      </c>
      <c r="F65" s="15" t="s">
        <v>67</v>
      </c>
      <c r="G65" s="16">
        <f>=IF(F65="Completed", 1, IF(F65="In Progress", 0.5, IF(F65="Review", 0.8, 0)))</f>
        <v>0</v>
      </c>
      <c r="H65" s="15" t="s">
        <v>38</v>
      </c>
      <c r="I65" s="15" t="s">
        <v>197</v>
      </c>
      <c r="J65" s="15" t="s">
        <v>13</v>
      </c>
      <c r="K65" s="15" t="s">
        <v>13</v>
      </c>
      <c r="L65" s="9" t="s">
        <v>208</v>
      </c>
    </row>
    <row r="66" spans="1:18" x14ac:dyDescent="0.25">
      <c r="A66" s="13" t="s">
        <v>209</v>
      </c>
      <c r="B66" s="6" t="s">
        <v>32</v>
      </c>
      <c r="C66" s="6" t="s">
        <v>210</v>
      </c>
      <c r="D66" s="6" t="s">
        <v>31</v>
      </c>
      <c r="E66" s="13" t="s">
        <v>59</v>
      </c>
      <c r="F66" s="13" t="s">
        <v>67</v>
      </c>
      <c r="G66" s="14">
        <f>=IF(F66="Completed", 1, IF(F66="In Progress", 0.5, IF(F66="Review", 0.8, 0)))</f>
        <v>0</v>
      </c>
      <c r="H66" s="13" t="s">
        <v>38</v>
      </c>
      <c r="I66" s="13" t="s">
        <v>200</v>
      </c>
      <c r="J66" s="13" t="s">
        <v>13</v>
      </c>
      <c r="K66" s="13" t="s">
        <v>13</v>
      </c>
      <c r="L66" s="6" t="s">
        <v>211</v>
      </c>
    </row>
    <row r="67" spans="1:18" x14ac:dyDescent="0.25">
      <c r="A67" s="15" t="s">
        <v>212</v>
      </c>
      <c r="B67" s="9" t="s">
        <v>35</v>
      </c>
      <c r="C67" s="9" t="s">
        <v>213</v>
      </c>
      <c r="D67" s="9" t="s">
        <v>19</v>
      </c>
      <c r="E67" s="15" t="s">
        <v>59</v>
      </c>
      <c r="F67" s="15" t="s">
        <v>12</v>
      </c>
      <c r="G67" s="16">
        <f>=IF(F67="Completed", 1, IF(F67="In Progress", 0.5, IF(F67="Review", 0.8, 0)))</f>
        <v>1</v>
      </c>
      <c r="H67" s="15" t="s">
        <v>27</v>
      </c>
      <c r="I67" s="15" t="s">
        <v>55</v>
      </c>
      <c r="J67" s="15" t="s">
        <v>12</v>
      </c>
      <c r="K67" s="15" t="s">
        <v>12</v>
      </c>
      <c r="L67" s="9" t="s">
        <v>214</v>
      </c>
    </row>
    <row r="68" spans="1:18" x14ac:dyDescent="0.25">
      <c r="A68" s="13" t="s">
        <v>215</v>
      </c>
      <c r="B68" s="6" t="s">
        <v>35</v>
      </c>
      <c r="C68" s="6" t="s">
        <v>216</v>
      </c>
      <c r="D68" s="6" t="s">
        <v>19</v>
      </c>
      <c r="E68" s="13" t="s">
        <v>59</v>
      </c>
      <c r="F68" s="13" t="s">
        <v>12</v>
      </c>
      <c r="G68" s="14">
        <f>=IF(F68="Completed", 1, IF(F68="In Progress", 0.5, IF(F68="Review", 0.8, 0)))</f>
        <v>1</v>
      </c>
      <c r="H68" s="13" t="s">
        <v>24</v>
      </c>
      <c r="I68" s="13" t="s">
        <v>55</v>
      </c>
      <c r="J68" s="13" t="s">
        <v>12</v>
      </c>
      <c r="K68" s="13" t="s">
        <v>12</v>
      </c>
      <c r="L68" s="6" t="s">
        <v>217</v>
      </c>
    </row>
    <row r="69" spans="1:18" x14ac:dyDescent="0.25">
      <c r="A69" s="15" t="s">
        <v>218</v>
      </c>
      <c r="B69" s="9" t="s">
        <v>35</v>
      </c>
      <c r="C69" s="9" t="s">
        <v>219</v>
      </c>
      <c r="D69" s="9" t="s">
        <v>19</v>
      </c>
      <c r="E69" s="15" t="s">
        <v>63</v>
      </c>
      <c r="F69" s="15" t="s">
        <v>67</v>
      </c>
      <c r="G69" s="16">
        <f>=IF(F69="Completed", 1, IF(F69="In Progress", 0.5, IF(F69="Review", 0.8, 0)))</f>
        <v>0</v>
      </c>
      <c r="H69" s="15" t="s">
        <v>38</v>
      </c>
      <c r="I69" s="15" t="s">
        <v>55</v>
      </c>
      <c r="J69" s="15" t="s">
        <v>13</v>
      </c>
      <c r="K69" s="15" t="s">
        <v>13</v>
      </c>
      <c r="L69" s="9" t="s">
        <v>220</v>
      </c>
    </row>
    <row r="70" spans="1:18" x14ac:dyDescent="0.25">
      <c r="A70" s="13" t="s">
        <v>221</v>
      </c>
      <c r="B70" s="6" t="s">
        <v>35</v>
      </c>
      <c r="C70" s="6" t="s">
        <v>222</v>
      </c>
      <c r="D70" s="6" t="s">
        <v>19</v>
      </c>
      <c r="E70" s="13" t="s">
        <v>59</v>
      </c>
      <c r="F70" s="13" t="s">
        <v>67</v>
      </c>
      <c r="G70" s="14">
        <f>=IF(F70="Completed", 1, IF(F70="In Progress", 0.5, IF(F70="Review", 0.8, 0)))</f>
        <v>0</v>
      </c>
      <c r="H70" s="13" t="s">
        <v>51</v>
      </c>
      <c r="I70" s="13" t="s">
        <v>55</v>
      </c>
      <c r="J70" s="13" t="s">
        <v>13</v>
      </c>
      <c r="K70" s="13" t="s">
        <v>13</v>
      </c>
      <c r="L70" s="6" t="s">
        <v>223</v>
      </c>
    </row>
    <row r="71" spans="1:18" x14ac:dyDescent="0.25">
      <c r="A71" s="15" t="s">
        <v>224</v>
      </c>
      <c r="B71" s="9" t="s">
        <v>35</v>
      </c>
      <c r="C71" s="9" t="s">
        <v>225</v>
      </c>
      <c r="D71" s="9" t="s">
        <v>19</v>
      </c>
      <c r="E71" s="15" t="s">
        <v>59</v>
      </c>
      <c r="F71" s="15" t="s">
        <v>67</v>
      </c>
      <c r="G71" s="16">
        <f>=IF(F71="Completed", 1, IF(F71="In Progress", 0.5, IF(F71="Review", 0.8, 0)))</f>
        <v>0</v>
      </c>
      <c r="H71" s="15" t="s">
        <v>51</v>
      </c>
      <c r="I71" s="15" t="s">
        <v>55</v>
      </c>
      <c r="J71" s="15" t="s">
        <v>13</v>
      </c>
      <c r="K71" s="15" t="s">
        <v>13</v>
      </c>
      <c r="L71" s="9" t="s">
        <v>226</v>
      </c>
    </row>
    <row r="72" spans="1:18" x14ac:dyDescent="0.25">
      <c r="A72" s="13" t="s">
        <v>227</v>
      </c>
      <c r="B72" s="6" t="s">
        <v>35</v>
      </c>
      <c r="C72" s="6" t="s">
        <v>228</v>
      </c>
      <c r="D72" s="6" t="s">
        <v>19</v>
      </c>
      <c r="E72" s="13" t="s">
        <v>63</v>
      </c>
      <c r="F72" s="13" t="s">
        <v>67</v>
      </c>
      <c r="G72" s="14">
        <f>=IF(F72="Completed", 1, IF(F72="In Progress", 0.5, IF(F72="Review", 0.8, 0)))</f>
        <v>0</v>
      </c>
      <c r="H72" s="13" t="s">
        <v>51</v>
      </c>
      <c r="I72" s="13" t="s">
        <v>55</v>
      </c>
      <c r="J72" s="13" t="s">
        <v>13</v>
      </c>
      <c r="K72" s="13" t="s">
        <v>13</v>
      </c>
      <c r="L72" s="6" t="s">
        <v>229</v>
      </c>
    </row>
  </sheetData>
  <autoFilter ref="A15:L72"/>
  <mergeCells count="16">
    <mergeCell ref="A1:L1"/>
    <mergeCell ref="A2:B2"/>
    <mergeCell ref="C2:D2"/>
    <mergeCell ref="E2:F2"/>
    <mergeCell ref="G2:H2"/>
    <mergeCell ref="I2:J2"/>
    <mergeCell ref="K2:L2"/>
    <mergeCell ref="A3:B4"/>
    <mergeCell ref="C3:D4"/>
    <mergeCell ref="E3:F4"/>
    <mergeCell ref="G3:H4"/>
    <mergeCell ref="I3:J4"/>
    <mergeCell ref="K3:L4"/>
    <mergeCell ref="A6:F6"/>
    <mergeCell ref="H6:M6"/>
    <mergeCell ref="O6:R6"/>
  </mergeCells>
  <conditionalFormatting sqref="F16:F72">
    <cfRule type="cellIs" dxfId="0" priority="1" operator="equal">
      <formula>"Completed"</formula>
    </cfRule>
    <cfRule type="cellIs" dxfId="1" priority="2" operator="equal">
      <formula>"In Progress"</formula>
    </cfRule>
    <cfRule type="cellIs" dxfId="2" priority="3" operator="equal">
      <formula>"Review"</formula>
    </cfRule>
    <cfRule type="cellIs" dxfId="3" priority="4" operator="equal">
      <formula>"Blocked"</formula>
    </cfRule>
    <cfRule type="cellIs" dxfId="4" priority="5" operator="equal">
      <formula>"Not Started"</formula>
    </cfRule>
  </conditionalFormatting>
  <conditionalFormatting sqref="E16:E72">
    <cfRule type="cellIs" dxfId="5" priority="6" operator="equal">
      <formula>"Critical"</formula>
    </cfRule>
    <cfRule type="cellIs" dxfId="6" priority="7" operator="equal">
      <formula>"High"</formula>
    </cfRule>
    <cfRule type="cellIs" dxfId="7" priority="8" operator="equal">
      <formula>"Medium"</formula>
    </cfRule>
    <cfRule type="cellIs" dxfId="8" priority="9" operator="equal">
      <formula>"Low"</formula>
    </cfRule>
  </conditionalFormatting>
  <dataValidations count="2">
    <dataValidation type="list" allowBlank="1" sqref="E16:E72">
      <formula1>"Critical,High,Medium,Low"</formula1>
    </dataValidation>
    <dataValidation type="list" allowBlank="1" sqref="F16:F72">
      <formula1>"Not Started,In Progress,Review,Completed,Blocked"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FormatPr defaultRowHeight="15" outlineLevelRow="0" outlineLevelCol="0" x14ac:dyDescent="55"/>
  <cols>
    <col min="1" max="15" width="40" customWidth="1"/>
  </cols>
  <sheetData>
    <row r="1" ht="30" customHeight="1" spans="1:15" x14ac:dyDescent="0.25">
      <c r="A1" s="1" t="s">
        <v>230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/>
    <row r="3" ht="20" customHeight="1" spans="1:15" x14ac:dyDescent="0.25">
      <c r="B3" s="17" t="s">
        <v>231</v>
      </c>
      <c r="C3" s="18" t="s">
        <v>232</v>
      </c>
      <c r="E3" s="17" t="s">
        <v>233</v>
      </c>
      <c r="F3" s="18" t="s">
        <v>234</v>
      </c>
      <c r="H3" s="17" t="s">
        <v>235</v>
      </c>
      <c r="I3" s="18" t="s">
        <v>236</v>
      </c>
    </row>
    <row r="4" spans="1:15" x14ac:dyDescent="0.25"/>
    <row r="5" ht="24" customHeight="1" spans="1:15" x14ac:dyDescent="0.25">
      <c r="A5" s="19" t="s">
        <v>237</v>
      </c>
      <c r="B5" s="19"/>
      <c r="C5" s="19"/>
      <c r="D5" s="20" t="s">
        <v>67</v>
      </c>
      <c r="E5" s="20"/>
      <c r="F5" s="20"/>
      <c r="G5" s="21" t="s">
        <v>92</v>
      </c>
      <c r="H5" s="21"/>
      <c r="I5" s="21"/>
      <c r="J5" s="22" t="s">
        <v>238</v>
      </c>
      <c r="K5" s="22"/>
      <c r="L5" s="22"/>
      <c r="M5" s="23" t="s">
        <v>12</v>
      </c>
      <c r="N5" s="23"/>
      <c r="O5" s="23"/>
    </row>
    <row r="6" ht="18" customHeight="1" spans="1:15" x14ac:dyDescent="0.25">
      <c r="A6" s="24" t="s">
        <v>39</v>
      </c>
      <c r="B6" s="24" t="s">
        <v>41</v>
      </c>
      <c r="C6" s="24" t="s">
        <v>42</v>
      </c>
      <c r="D6" s="24" t="s">
        <v>39</v>
      </c>
      <c r="E6" s="24" t="s">
        <v>41</v>
      </c>
      <c r="F6" s="24" t="s">
        <v>42</v>
      </c>
      <c r="G6" s="24" t="s">
        <v>39</v>
      </c>
      <c r="H6" s="24" t="s">
        <v>41</v>
      </c>
      <c r="I6" s="24" t="s">
        <v>42</v>
      </c>
      <c r="J6" s="24" t="s">
        <v>39</v>
      </c>
      <c r="K6" s="24" t="s">
        <v>41</v>
      </c>
      <c r="L6" s="24" t="s">
        <v>42</v>
      </c>
      <c r="M6" s="24" t="s">
        <v>39</v>
      </c>
      <c r="N6" s="24" t="s">
        <v>41</v>
      </c>
      <c r="O6" s="24" t="s">
        <v>42</v>
      </c>
    </row>
    <row r="7" ht="18" customHeight="1" spans="1:15" x14ac:dyDescent="0.25">
      <c r="A7" s="25" t="s">
        <v>239</v>
      </c>
      <c r="B7" s="26" t="s">
        <v>239</v>
      </c>
      <c r="C7" s="27" t="s">
        <v>239</v>
      </c>
      <c r="D7" s="28" t="str">
        <f>=Dashboard!A19</f>
        <v>TASK-INF-004</v>
      </c>
      <c r="E7" s="26" t="str">
        <f>=Dashboard!C19</f>
        <v>Deployment Environment Preparation</v>
      </c>
      <c r="F7" s="29" t="str">
        <f>=Dashboard!D19</f>
        <v>Adithyan N</v>
      </c>
      <c r="G7" s="30" t="str">
        <f>=Dashboard!A27</f>
        <v>TASK-FE-008</v>
      </c>
      <c r="H7" s="26" t="str">
        <f>=Dashboard!C27</f>
        <v>Complaint UI</v>
      </c>
      <c r="I7" s="31" t="str">
        <f>=Dashboard!D27</f>
        <v>Adithyan N</v>
      </c>
      <c r="J7" s="32" t="str">
        <f>=Dashboard!A41</f>
        <v>TASK-BE-004</v>
      </c>
      <c r="K7" s="26" t="str">
        <f>=Dashboard!C41</f>
        <v>Complaint APIs</v>
      </c>
      <c r="L7" s="33" t="str">
        <f>=Dashboard!D41</f>
        <v>Muhammad Sanish</v>
      </c>
      <c r="M7" s="34" t="str">
        <f>=Dashboard!A16</f>
        <v>TASK-INF-001</v>
      </c>
      <c r="N7" s="26" t="str">
        <f>=Dashboard!C16</f>
        <v>MongoDB Atlas Setup</v>
      </c>
      <c r="O7" s="35" t="str">
        <f>=Dashboard!D16</f>
        <v>Adithyan N</v>
      </c>
    </row>
    <row r="8" ht="18" customHeight="1" spans="1:15" x14ac:dyDescent="0.25">
      <c r="A8" s="25" t="s">
        <v>239</v>
      </c>
      <c r="B8" s="26" t="s">
        <v>239</v>
      </c>
      <c r="C8" s="27" t="s">
        <v>239</v>
      </c>
      <c r="D8" s="28" t="str">
        <f>=Dashboard!A29</f>
        <v>TASK-FE-010</v>
      </c>
      <c r="E8" s="26" t="str">
        <f>=Dashboard!C29</f>
        <v>Feedback UI</v>
      </c>
      <c r="F8" s="29" t="str">
        <f>=Dashboard!D29</f>
        <v>Adithyan N</v>
      </c>
      <c r="G8" s="30" t="str">
        <f>=Dashboard!A28</f>
        <v>TASK-FE-009</v>
      </c>
      <c r="H8" s="26" t="str">
        <f>=Dashboard!C28</f>
        <v>File Tracking UI</v>
      </c>
      <c r="I8" s="31" t="str">
        <f>=Dashboard!D28</f>
        <v>Adithyan N</v>
      </c>
      <c r="J8" s="32" t="str">
        <f>=Dashboard!A42</f>
        <v>TASK-BE-005</v>
      </c>
      <c r="K8" s="26" t="str">
        <f>=Dashboard!C42</f>
        <v>File Tracking APIs</v>
      </c>
      <c r="L8" s="33" t="str">
        <f>=Dashboard!D42</f>
        <v>Muhammad Sanish</v>
      </c>
      <c r="M8" s="34" t="str">
        <f>=Dashboard!A17</f>
        <v>TASK-INF-002</v>
      </c>
      <c r="N8" s="26" t="str">
        <f>=Dashboard!C17</f>
        <v>Environment Configuration</v>
      </c>
      <c r="O8" s="35" t="str">
        <f>=Dashboard!D17</f>
        <v>Muhammad Sanish</v>
      </c>
    </row>
    <row r="9" ht="18" customHeight="1" spans="1:15" x14ac:dyDescent="0.25">
      <c r="A9" s="25" t="s">
        <v>239</v>
      </c>
      <c r="B9" s="26" t="s">
        <v>239</v>
      </c>
      <c r="C9" s="27" t="s">
        <v>239</v>
      </c>
      <c r="D9" s="28" t="str">
        <f>=Dashboard!A30</f>
        <v>TASK-FE-011</v>
      </c>
      <c r="E9" s="26" t="str">
        <f>=Dashboard!C30</f>
        <v>Staff Dashboard UI</v>
      </c>
      <c r="F9" s="29" t="str">
        <f>=Dashboard!D30</f>
        <v>Adithyan N</v>
      </c>
      <c r="G9" s="30" t="s">
        <v>239</v>
      </c>
      <c r="H9" s="26" t="s">
        <v>239</v>
      </c>
      <c r="I9" s="31" t="s">
        <v>239</v>
      </c>
      <c r="J9" s="32" t="s">
        <v>239</v>
      </c>
      <c r="K9" s="26" t="s">
        <v>239</v>
      </c>
      <c r="L9" s="33" t="s">
        <v>239</v>
      </c>
      <c r="M9" s="34" t="str">
        <f>=Dashboard!A18</f>
        <v>TASK-INF-003</v>
      </c>
      <c r="N9" s="26" t="str">
        <f>=Dashboard!C18</f>
        <v>Logging Infrastructure Setup</v>
      </c>
      <c r="O9" s="35" t="str">
        <f>=Dashboard!D18</f>
        <v>Muhammad Sanish</v>
      </c>
    </row>
    <row r="10" ht="18" customHeight="1" spans="1:15" x14ac:dyDescent="0.25">
      <c r="A10" s="25" t="s">
        <v>239</v>
      </c>
      <c r="B10" s="26" t="s">
        <v>239</v>
      </c>
      <c r="C10" s="27" t="s">
        <v>239</v>
      </c>
      <c r="D10" s="28" t="str">
        <f>=Dashboard!A31</f>
        <v>TASK-FE-012</v>
      </c>
      <c r="E10" s="26" t="str">
        <f>=Dashboard!C31</f>
        <v>Attendance UI</v>
      </c>
      <c r="F10" s="29" t="str">
        <f>=Dashboard!D31</f>
        <v>Adithyan N</v>
      </c>
      <c r="G10" s="30" t="s">
        <v>239</v>
      </c>
      <c r="H10" s="26" t="s">
        <v>239</v>
      </c>
      <c r="I10" s="31" t="s">
        <v>239</v>
      </c>
      <c r="J10" s="32" t="s">
        <v>239</v>
      </c>
      <c r="K10" s="26" t="s">
        <v>239</v>
      </c>
      <c r="L10" s="33" t="s">
        <v>239</v>
      </c>
      <c r="M10" s="34" t="str">
        <f>=Dashboard!A20</f>
        <v>TASK-FE-001</v>
      </c>
      <c r="N10" s="26" t="str">
        <f>=Dashboard!C20</f>
        <v>React Setup</v>
      </c>
      <c r="O10" s="35" t="str">
        <f>=Dashboard!D20</f>
        <v>Adithyan N</v>
      </c>
    </row>
    <row r="11" ht="18" customHeight="1" spans="1:15" x14ac:dyDescent="0.25">
      <c r="A11" s="25" t="s">
        <v>239</v>
      </c>
      <c r="B11" s="26" t="s">
        <v>239</v>
      </c>
      <c r="C11" s="27" t="s">
        <v>239</v>
      </c>
      <c r="D11" s="28" t="str">
        <f>=Dashboard!A32</f>
        <v>TASK-FE-013</v>
      </c>
      <c r="E11" s="26" t="str">
        <f>=Dashboard!C32</f>
        <v>Chatbot UI</v>
      </c>
      <c r="F11" s="29" t="str">
        <f>=Dashboard!D32</f>
        <v>Adithyan N</v>
      </c>
      <c r="G11" s="30" t="s">
        <v>239</v>
      </c>
      <c r="H11" s="26" t="s">
        <v>239</v>
      </c>
      <c r="I11" s="31" t="s">
        <v>239</v>
      </c>
      <c r="J11" s="32" t="s">
        <v>239</v>
      </c>
      <c r="K11" s="26" t="s">
        <v>239</v>
      </c>
      <c r="L11" s="33" t="s">
        <v>239</v>
      </c>
      <c r="M11" s="34" t="str">
        <f>=Dashboard!A21</f>
        <v>TASK-FE-002</v>
      </c>
      <c r="N11" s="26" t="str">
        <f>=Dashboard!C21</f>
        <v>Tailwind Setup</v>
      </c>
      <c r="O11" s="35" t="str">
        <f>=Dashboard!D21</f>
        <v>Adithyan N</v>
      </c>
    </row>
    <row r="12" ht="18" customHeight="1" spans="1:15" x14ac:dyDescent="0.25">
      <c r="A12" s="25" t="s">
        <v>239</v>
      </c>
      <c r="B12" s="26" t="s">
        <v>239</v>
      </c>
      <c r="C12" s="27" t="s">
        <v>239</v>
      </c>
      <c r="D12" s="28" t="str">
        <f>=Dashboard!A33</f>
        <v>TASK-FE-014</v>
      </c>
      <c r="E12" s="26" t="str">
        <f>=Dashboard!C33</f>
        <v>Admin Dashboard</v>
      </c>
      <c r="F12" s="29" t="str">
        <f>=Dashboard!D33</f>
        <v>Adithyan N</v>
      </c>
      <c r="G12" s="30" t="s">
        <v>239</v>
      </c>
      <c r="H12" s="26" t="s">
        <v>239</v>
      </c>
      <c r="I12" s="31" t="s">
        <v>239</v>
      </c>
      <c r="J12" s="32" t="s">
        <v>239</v>
      </c>
      <c r="K12" s="26" t="s">
        <v>239</v>
      </c>
      <c r="L12" s="33" t="s">
        <v>239</v>
      </c>
      <c r="M12" s="34" t="str">
        <f>=Dashboard!A22</f>
        <v>TASK-FE-003</v>
      </c>
      <c r="N12" s="26" t="str">
        <f>=Dashboard!C22</f>
        <v>Routing</v>
      </c>
      <c r="O12" s="35" t="str">
        <f>=Dashboard!D22</f>
        <v>Adithyan N</v>
      </c>
    </row>
    <row r="13" ht="18" customHeight="1" spans="1:15" x14ac:dyDescent="0.25">
      <c r="A13" s="25" t="s">
        <v>239</v>
      </c>
      <c r="B13" s="26" t="s">
        <v>239</v>
      </c>
      <c r="C13" s="27" t="s">
        <v>239</v>
      </c>
      <c r="D13" s="28" t="str">
        <f>=Dashboard!A34</f>
        <v>TASK-FE-015</v>
      </c>
      <c r="E13" s="26" t="str">
        <f>=Dashboard!C34</f>
        <v>Notifications UI</v>
      </c>
      <c r="F13" s="29" t="str">
        <f>=Dashboard!D34</f>
        <v>Adithyan N</v>
      </c>
      <c r="G13" s="30" t="s">
        <v>239</v>
      </c>
      <c r="H13" s="26" t="s">
        <v>239</v>
      </c>
      <c r="I13" s="31" t="s">
        <v>239</v>
      </c>
      <c r="J13" s="32" t="s">
        <v>239</v>
      </c>
      <c r="K13" s="26" t="s">
        <v>239</v>
      </c>
      <c r="L13" s="33" t="s">
        <v>239</v>
      </c>
      <c r="M13" s="34" t="str">
        <f>=Dashboard!A23</f>
        <v>TASK-FE-004</v>
      </c>
      <c r="N13" s="26" t="str">
        <f>=Dashboard!C23</f>
        <v>Protected Routes</v>
      </c>
      <c r="O13" s="35" t="str">
        <f>=Dashboard!D23</f>
        <v>Adithyan N</v>
      </c>
    </row>
    <row r="14" ht="18" customHeight="1" spans="1:15" x14ac:dyDescent="0.25">
      <c r="A14" s="25" t="s">
        <v>239</v>
      </c>
      <c r="B14" s="26" t="s">
        <v>239</v>
      </c>
      <c r="C14" s="27" t="s">
        <v>239</v>
      </c>
      <c r="D14" s="28" t="str">
        <f>=Dashboard!A35</f>
        <v>TASK-FE-016</v>
      </c>
      <c r="E14" s="26" t="str">
        <f>=Dashboard!C35</f>
        <v>Responsive Fixes</v>
      </c>
      <c r="F14" s="29" t="str">
        <f>=Dashboard!D35</f>
        <v>Adithyan N</v>
      </c>
      <c r="G14" s="30" t="s">
        <v>239</v>
      </c>
      <c r="H14" s="26" t="s">
        <v>239</v>
      </c>
      <c r="I14" s="31" t="s">
        <v>239</v>
      </c>
      <c r="J14" s="32" t="s">
        <v>239</v>
      </c>
      <c r="K14" s="26" t="s">
        <v>239</v>
      </c>
      <c r="L14" s="33" t="s">
        <v>239</v>
      </c>
      <c r="M14" s="34" t="str">
        <f>=Dashboard!A24</f>
        <v>TASK-FE-005</v>
      </c>
      <c r="N14" s="26" t="str">
        <f>=Dashboard!C24</f>
        <v>Axios Setup</v>
      </c>
      <c r="O14" s="35" t="str">
        <f>=Dashboard!D24</f>
        <v>Adithyan N</v>
      </c>
    </row>
    <row r="15" ht="18" customHeight="1" spans="1:15" x14ac:dyDescent="0.25">
      <c r="A15" s="25" t="s">
        <v>239</v>
      </c>
      <c r="B15" s="26" t="s">
        <v>239</v>
      </c>
      <c r="C15" s="27" t="s">
        <v>239</v>
      </c>
      <c r="D15" s="28" t="str">
        <f>=Dashboard!A36</f>
        <v>TASK-FE-017</v>
      </c>
      <c r="E15" s="26" t="str">
        <f>=Dashboard!C36</f>
        <v>Integration</v>
      </c>
      <c r="F15" s="29" t="str">
        <f>=Dashboard!D36</f>
        <v>Adithyan N</v>
      </c>
      <c r="G15" s="30" t="s">
        <v>239</v>
      </c>
      <c r="H15" s="26" t="s">
        <v>239</v>
      </c>
      <c r="I15" s="31" t="s">
        <v>239</v>
      </c>
      <c r="J15" s="32" t="s">
        <v>239</v>
      </c>
      <c r="K15" s="26" t="s">
        <v>239</v>
      </c>
      <c r="L15" s="33" t="s">
        <v>239</v>
      </c>
      <c r="M15" s="34" t="str">
        <f>=Dashboard!A25</f>
        <v>TASK-FE-006</v>
      </c>
      <c r="N15" s="26" t="str">
        <f>=Dashboard!C25</f>
        <v>Authentication UI</v>
      </c>
      <c r="O15" s="35" t="str">
        <f>=Dashboard!D25</f>
        <v>Adithyan N</v>
      </c>
    </row>
    <row r="16" ht="18" customHeight="1" spans="1:15" x14ac:dyDescent="0.25">
      <c r="A16" s="25" t="s">
        <v>239</v>
      </c>
      <c r="B16" s="26" t="s">
        <v>239</v>
      </c>
      <c r="C16" s="27" t="s">
        <v>239</v>
      </c>
      <c r="D16" s="28" t="str">
        <f>=Dashboard!A37</f>
        <v>TASK-FE-018</v>
      </c>
      <c r="E16" s="26" t="str">
        <f>=Dashboard!C37</f>
        <v>Final UI Testing</v>
      </c>
      <c r="F16" s="29" t="str">
        <f>=Dashboard!D37</f>
        <v>Adithyan N</v>
      </c>
      <c r="G16" s="30" t="s">
        <v>239</v>
      </c>
      <c r="H16" s="26" t="s">
        <v>239</v>
      </c>
      <c r="I16" s="31" t="s">
        <v>239</v>
      </c>
      <c r="J16" s="32" t="s">
        <v>239</v>
      </c>
      <c r="K16" s="26" t="s">
        <v>239</v>
      </c>
      <c r="L16" s="33" t="s">
        <v>239</v>
      </c>
      <c r="M16" s="34" t="str">
        <f>=Dashboard!A26</f>
        <v>TASK-FE-007</v>
      </c>
      <c r="N16" s="26" t="str">
        <f>=Dashboard!C26</f>
        <v>Citizen Dashboard</v>
      </c>
      <c r="O16" s="35" t="str">
        <f>=Dashboard!D26</f>
        <v>Adithyan N</v>
      </c>
    </row>
    <row r="17" ht="18" customHeight="1" spans="1:15" x14ac:dyDescent="0.25">
      <c r="A17" s="25" t="s">
        <v>239</v>
      </c>
      <c r="B17" s="26" t="s">
        <v>239</v>
      </c>
      <c r="C17" s="27" t="s">
        <v>239</v>
      </c>
      <c r="D17" s="28" t="str">
        <f>=Dashboard!A43</f>
        <v>TASK-BE-006</v>
      </c>
      <c r="E17" s="26" t="str">
        <f>=Dashboard!C43</f>
        <v>Attendance APIs</v>
      </c>
      <c r="F17" s="29" t="str">
        <f>=Dashboard!D43</f>
        <v>Muhammad Sanish</v>
      </c>
      <c r="G17" s="30" t="s">
        <v>239</v>
      </c>
      <c r="H17" s="26" t="s">
        <v>239</v>
      </c>
      <c r="I17" s="31" t="s">
        <v>239</v>
      </c>
      <c r="J17" s="32" t="s">
        <v>239</v>
      </c>
      <c r="K17" s="26" t="s">
        <v>239</v>
      </c>
      <c r="L17" s="33" t="s">
        <v>239</v>
      </c>
      <c r="M17" s="34" t="str">
        <f>=Dashboard!A38</f>
        <v>TASK-BE-001</v>
      </c>
      <c r="N17" s="26" t="str">
        <f>=Dashboard!C38</f>
        <v>Express Setup</v>
      </c>
      <c r="O17" s="35" t="str">
        <f>=Dashboard!D38</f>
        <v>Muhammad Sanish</v>
      </c>
    </row>
    <row r="18" ht="18" customHeight="1" spans="1:15" x14ac:dyDescent="0.25">
      <c r="A18" s="25" t="s">
        <v>239</v>
      </c>
      <c r="B18" s="26" t="s">
        <v>239</v>
      </c>
      <c r="C18" s="27" t="s">
        <v>239</v>
      </c>
      <c r="D18" s="28" t="str">
        <f>=Dashboard!A44</f>
        <v>TASK-BE-007</v>
      </c>
      <c r="E18" s="26" t="str">
        <f>=Dashboard!C44</f>
        <v>Feedback APIs</v>
      </c>
      <c r="F18" s="29" t="str">
        <f>=Dashboard!D44</f>
        <v>Muhammad Sanish</v>
      </c>
      <c r="G18" s="30" t="s">
        <v>239</v>
      </c>
      <c r="H18" s="26" t="s">
        <v>239</v>
      </c>
      <c r="I18" s="31" t="s">
        <v>239</v>
      </c>
      <c r="J18" s="32" t="s">
        <v>239</v>
      </c>
      <c r="K18" s="26" t="s">
        <v>239</v>
      </c>
      <c r="L18" s="33" t="s">
        <v>239</v>
      </c>
      <c r="M18" s="34" t="str">
        <f>=Dashboard!A39</f>
        <v>TASK-BE-002</v>
      </c>
      <c r="N18" s="26" t="str">
        <f>=Dashboard!C39</f>
        <v>JWT Authentication</v>
      </c>
      <c r="O18" s="35" t="str">
        <f>=Dashboard!D39</f>
        <v>Muhammad Sanish</v>
      </c>
    </row>
    <row r="19" ht="18" customHeight="1" spans="1:15" x14ac:dyDescent="0.25">
      <c r="A19" s="25" t="s">
        <v>239</v>
      </c>
      <c r="B19" s="26" t="s">
        <v>239</v>
      </c>
      <c r="C19" s="27" t="s">
        <v>239</v>
      </c>
      <c r="D19" s="28" t="str">
        <f>=Dashboard!A45</f>
        <v>TASK-BE-008</v>
      </c>
      <c r="E19" s="26" t="str">
        <f>=Dashboard!C45</f>
        <v>Admin APIs</v>
      </c>
      <c r="F19" s="29" t="str">
        <f>=Dashboard!D45</f>
        <v>Muhammad Sanish</v>
      </c>
      <c r="G19" s="30" t="s">
        <v>239</v>
      </c>
      <c r="H19" s="26" t="s">
        <v>239</v>
      </c>
      <c r="I19" s="31" t="s">
        <v>239</v>
      </c>
      <c r="J19" s="32" t="s">
        <v>239</v>
      </c>
      <c r="K19" s="26" t="s">
        <v>239</v>
      </c>
      <c r="L19" s="33" t="s">
        <v>239</v>
      </c>
      <c r="M19" s="34" t="str">
        <f>=Dashboard!A40</f>
        <v>TASK-BE-003</v>
      </c>
      <c r="N19" s="26" t="str">
        <f>=Dashboard!C40</f>
        <v>RBAC</v>
      </c>
      <c r="O19" s="35" t="str">
        <f>=Dashboard!D40</f>
        <v>Muhammad Sanish</v>
      </c>
    </row>
    <row r="20" ht="18" customHeight="1" spans="1:15" x14ac:dyDescent="0.25">
      <c r="A20" s="25" t="s">
        <v>239</v>
      </c>
      <c r="B20" s="26" t="s">
        <v>239</v>
      </c>
      <c r="C20" s="27" t="s">
        <v>239</v>
      </c>
      <c r="D20" s="28" t="str">
        <f>=Dashboard!A46</f>
        <v>TASK-BE-009</v>
      </c>
      <c r="E20" s="26" t="str">
        <f>=Dashboard!C46</f>
        <v>Audit Logging</v>
      </c>
      <c r="F20" s="29" t="str">
        <f>=Dashboard!D46</f>
        <v>Muhammad Sanish</v>
      </c>
      <c r="G20" s="30" t="s">
        <v>239</v>
      </c>
      <c r="H20" s="26" t="s">
        <v>239</v>
      </c>
      <c r="I20" s="31" t="s">
        <v>239</v>
      </c>
      <c r="J20" s="32" t="s">
        <v>239</v>
      </c>
      <c r="K20" s="26" t="s">
        <v>239</v>
      </c>
      <c r="L20" s="33" t="s">
        <v>239</v>
      </c>
      <c r="M20" s="34" t="str">
        <f>=Dashboard!A49</f>
        <v>TASK-DB-001</v>
      </c>
      <c r="N20" s="26" t="str">
        <f>=Dashboard!C49</f>
        <v>Core Schema Creation</v>
      </c>
      <c r="O20" s="35" t="str">
        <f>=Dashboard!D49</f>
        <v>Fathima Hana</v>
      </c>
    </row>
    <row r="21" ht="18" customHeight="1" spans="1:15" x14ac:dyDescent="0.25">
      <c r="A21" s="25" t="s">
        <v>239</v>
      </c>
      <c r="B21" s="26" t="s">
        <v>239</v>
      </c>
      <c r="C21" s="27" t="s">
        <v>239</v>
      </c>
      <c r="D21" s="28" t="str">
        <f>=Dashboard!A47</f>
        <v>TASK-BE-010</v>
      </c>
      <c r="E21" s="26" t="str">
        <f>=Dashboard!C47</f>
        <v>Middleware</v>
      </c>
      <c r="F21" s="29" t="str">
        <f>=Dashboard!D47</f>
        <v>Muhammad Sanish</v>
      </c>
      <c r="G21" s="30" t="s">
        <v>239</v>
      </c>
      <c r="H21" s="26" t="s">
        <v>239</v>
      </c>
      <c r="I21" s="31" t="s">
        <v>239</v>
      </c>
      <c r="J21" s="32" t="s">
        <v>239</v>
      </c>
      <c r="K21" s="26" t="s">
        <v>239</v>
      </c>
      <c r="L21" s="33" t="s">
        <v>239</v>
      </c>
      <c r="M21" s="34" t="str">
        <f>=Dashboard!A50</f>
        <v>TASK-DB-002</v>
      </c>
      <c r="N21" s="26" t="str">
        <f>=Dashboard!C50</f>
        <v>Mongoose Models</v>
      </c>
      <c r="O21" s="35" t="str">
        <f>=Dashboard!D50</f>
        <v>Fathima Hana</v>
      </c>
    </row>
    <row r="22" ht="18" customHeight="1" spans="1:15" x14ac:dyDescent="0.25">
      <c r="A22" s="25" t="s">
        <v>239</v>
      </c>
      <c r="B22" s="26" t="s">
        <v>239</v>
      </c>
      <c r="C22" s="27" t="s">
        <v>239</v>
      </c>
      <c r="D22" s="28" t="str">
        <f>=Dashboard!A48</f>
        <v>TASK-BE-011</v>
      </c>
      <c r="E22" s="26" t="str">
        <f>=Dashboard!C48</f>
        <v>Security Middleware</v>
      </c>
      <c r="F22" s="29" t="str">
        <f>=Dashboard!D48</f>
        <v>Muhammad Sanish</v>
      </c>
      <c r="G22" s="30" t="s">
        <v>239</v>
      </c>
      <c r="H22" s="26" t="s">
        <v>239</v>
      </c>
      <c r="I22" s="31" t="s">
        <v>239</v>
      </c>
      <c r="J22" s="32" t="s">
        <v>239</v>
      </c>
      <c r="K22" s="26" t="s">
        <v>239</v>
      </c>
      <c r="L22" s="33" t="s">
        <v>239</v>
      </c>
      <c r="M22" s="34" t="str">
        <f>=Dashboard!A51</f>
        <v>TASK-DB-003</v>
      </c>
      <c r="N22" s="26" t="str">
        <f>=Dashboard!C51</f>
        <v>Relationships</v>
      </c>
      <c r="O22" s="35" t="str">
        <f>=Dashboard!D51</f>
        <v>Fathima Hana</v>
      </c>
    </row>
    <row r="23" ht="18" customHeight="1" spans="1:15" x14ac:dyDescent="0.25">
      <c r="A23" s="25" t="s">
        <v>239</v>
      </c>
      <c r="B23" s="26" t="s">
        <v>239</v>
      </c>
      <c r="C23" s="27" t="s">
        <v>239</v>
      </c>
      <c r="D23" s="28" t="str">
        <f>=Dashboard!A53</f>
        <v>TASK-DB-005</v>
      </c>
      <c r="E23" s="26" t="str">
        <f>=Dashboard!C53</f>
        <v>Validation</v>
      </c>
      <c r="F23" s="29" t="str">
        <f>=Dashboard!D53</f>
        <v>Fathima Hana</v>
      </c>
      <c r="G23" s="30" t="s">
        <v>239</v>
      </c>
      <c r="H23" s="26" t="s">
        <v>239</v>
      </c>
      <c r="I23" s="31" t="s">
        <v>239</v>
      </c>
      <c r="J23" s="32" t="s">
        <v>239</v>
      </c>
      <c r="K23" s="26" t="s">
        <v>239</v>
      </c>
      <c r="L23" s="33" t="s">
        <v>239</v>
      </c>
      <c r="M23" s="34" t="str">
        <f>=Dashboard!A52</f>
        <v>TASK-DB-004</v>
      </c>
      <c r="N23" s="26" t="str">
        <f>=Dashboard!C52</f>
        <v>Indexing</v>
      </c>
      <c r="O23" s="35" t="str">
        <f>=Dashboard!D52</f>
        <v>Fathima Hana</v>
      </c>
    </row>
    <row r="24" ht="18" customHeight="1" spans="1:15" x14ac:dyDescent="0.25">
      <c r="A24" s="25" t="s">
        <v>239</v>
      </c>
      <c r="B24" s="26" t="s">
        <v>239</v>
      </c>
      <c r="C24" s="27" t="s">
        <v>239</v>
      </c>
      <c r="D24" s="28" t="str">
        <f>=Dashboard!A54</f>
        <v>TASK-DB-006</v>
      </c>
      <c r="E24" s="26" t="str">
        <f>=Dashboard!C54</f>
        <v>Query Optimization</v>
      </c>
      <c r="F24" s="29" t="str">
        <f>=Dashboard!D54</f>
        <v>Fathima Hana</v>
      </c>
      <c r="G24" s="30" t="s">
        <v>239</v>
      </c>
      <c r="H24" s="26" t="s">
        <v>239</v>
      </c>
      <c r="I24" s="31" t="s">
        <v>239</v>
      </c>
      <c r="J24" s="32" t="s">
        <v>239</v>
      </c>
      <c r="K24" s="26" t="s">
        <v>239</v>
      </c>
      <c r="L24" s="33" t="s">
        <v>239</v>
      </c>
      <c r="M24" s="34" t="str">
        <f>=Dashboard!A67</f>
        <v>TASK-QA-001</v>
      </c>
      <c r="N24" s="26" t="str">
        <f>=Dashboard!C67</f>
        <v>Test Cases</v>
      </c>
      <c r="O24" s="35" t="str">
        <f>=Dashboard!D67</f>
        <v>Minha Palakkathodi</v>
      </c>
    </row>
    <row r="25" ht="18" customHeight="1" spans="1:15" x14ac:dyDescent="0.25">
      <c r="A25" s="25" t="s">
        <v>239</v>
      </c>
      <c r="B25" s="26" t="s">
        <v>239</v>
      </c>
      <c r="C25" s="27" t="s">
        <v>239</v>
      </c>
      <c r="D25" s="28" t="str">
        <f>=Dashboard!A55</f>
        <v>TASK-AI-001</v>
      </c>
      <c r="E25" s="26" t="str">
        <f>=Dashboard!C55</f>
        <v>Gemini Chatbot</v>
      </c>
      <c r="F25" s="29" t="str">
        <f>=Dashboard!D55</f>
        <v>Muhammed Sadik KT</v>
      </c>
      <c r="G25" s="30" t="s">
        <v>239</v>
      </c>
      <c r="H25" s="26" t="s">
        <v>239</v>
      </c>
      <c r="I25" s="31" t="s">
        <v>239</v>
      </c>
      <c r="J25" s="32" t="s">
        <v>239</v>
      </c>
      <c r="K25" s="26" t="s">
        <v>239</v>
      </c>
      <c r="L25" s="33" t="s">
        <v>239</v>
      </c>
      <c r="M25" s="34" t="str">
        <f>=Dashboard!A68</f>
        <v>TASK-QA-002</v>
      </c>
      <c r="N25" s="26" t="str">
        <f>=Dashboard!C68</f>
        <v>Traceability Matrix</v>
      </c>
      <c r="O25" s="35" t="str">
        <f>=Dashboard!D68</f>
        <v>Minha Palakkathodi</v>
      </c>
    </row>
    <row r="26" ht="18" customHeight="1" spans="1:15" x14ac:dyDescent="0.25">
      <c r="A26" s="25" t="s">
        <v>239</v>
      </c>
      <c r="B26" s="26" t="s">
        <v>239</v>
      </c>
      <c r="C26" s="27" t="s">
        <v>239</v>
      </c>
      <c r="D26" s="28" t="str">
        <f>=Dashboard!A56</f>
        <v>TASK-AI-002</v>
      </c>
      <c r="E26" s="26" t="str">
        <f>=Dashboard!C56</f>
        <v>OCR</v>
      </c>
      <c r="F26" s="29" t="str">
        <f>=Dashboard!D56</f>
        <v>Muhammed Sadik KT</v>
      </c>
      <c r="G26" s="30" t="s">
        <v>239</v>
      </c>
      <c r="H26" s="26" t="s">
        <v>239</v>
      </c>
      <c r="I26" s="31" t="s">
        <v>239</v>
      </c>
      <c r="J26" s="32" t="s">
        <v>239</v>
      </c>
      <c r="K26" s="26" t="s">
        <v>239</v>
      </c>
      <c r="L26" s="33" t="s">
        <v>239</v>
      </c>
      <c r="M26" s="34" t="s">
        <v>239</v>
      </c>
      <c r="N26" s="26" t="s">
        <v>239</v>
      </c>
      <c r="O26" s="35" t="s">
        <v>239</v>
      </c>
    </row>
    <row r="27" ht="18" customHeight="1" spans="1:15" x14ac:dyDescent="0.25">
      <c r="A27" s="25" t="s">
        <v>239</v>
      </c>
      <c r="B27" s="26" t="s">
        <v>239</v>
      </c>
      <c r="C27" s="27" t="s">
        <v>239</v>
      </c>
      <c r="D27" s="28" t="str">
        <f>=Dashboard!A57</f>
        <v>TASK-AI-003</v>
      </c>
      <c r="E27" s="26" t="str">
        <f>=Dashboard!C57</f>
        <v>AI APIs</v>
      </c>
      <c r="F27" s="29" t="str">
        <f>=Dashboard!D57</f>
        <v>Muhammed Sadik KT</v>
      </c>
      <c r="G27" s="30" t="s">
        <v>239</v>
      </c>
      <c r="H27" s="26" t="s">
        <v>239</v>
      </c>
      <c r="I27" s="31" t="s">
        <v>239</v>
      </c>
      <c r="J27" s="32" t="s">
        <v>239</v>
      </c>
      <c r="K27" s="26" t="s">
        <v>239</v>
      </c>
      <c r="L27" s="33" t="s">
        <v>239</v>
      </c>
      <c r="M27" s="34" t="s">
        <v>239</v>
      </c>
      <c r="N27" s="26" t="s">
        <v>239</v>
      </c>
      <c r="O27" s="35" t="s">
        <v>239</v>
      </c>
    </row>
    <row r="28" ht="18" customHeight="1" spans="1:15" x14ac:dyDescent="0.25">
      <c r="A28" s="25" t="s">
        <v>239</v>
      </c>
      <c r="B28" s="26" t="s">
        <v>239</v>
      </c>
      <c r="C28" s="27" t="s">
        <v>239</v>
      </c>
      <c r="D28" s="28" t="str">
        <f>=Dashboard!A58</f>
        <v>TASK-AI-004</v>
      </c>
      <c r="E28" s="26" t="str">
        <f>=Dashboard!C58</f>
        <v>Prompt Engineering</v>
      </c>
      <c r="F28" s="29" t="str">
        <f>=Dashboard!D58</f>
        <v>Muhammed Sadik KT</v>
      </c>
      <c r="G28" s="30" t="s">
        <v>239</v>
      </c>
      <c r="H28" s="26" t="s">
        <v>239</v>
      </c>
      <c r="I28" s="31" t="s">
        <v>239</v>
      </c>
      <c r="J28" s="32" t="s">
        <v>239</v>
      </c>
      <c r="K28" s="26" t="s">
        <v>239</v>
      </c>
      <c r="L28" s="33" t="s">
        <v>239</v>
      </c>
      <c r="M28" s="34" t="s">
        <v>239</v>
      </c>
      <c r="N28" s="26" t="s">
        <v>239</v>
      </c>
      <c r="O28" s="35" t="s">
        <v>239</v>
      </c>
    </row>
    <row r="29" ht="18" customHeight="1" spans="1:15" x14ac:dyDescent="0.25">
      <c r="A29" s="25" t="s">
        <v>239</v>
      </c>
      <c r="B29" s="26" t="s">
        <v>239</v>
      </c>
      <c r="C29" s="27" t="s">
        <v>239</v>
      </c>
      <c r="D29" s="28" t="str">
        <f>=Dashboard!A59</f>
        <v>TASK-AI-005</v>
      </c>
      <c r="E29" s="26" t="str">
        <f>=Dashboard!C59</f>
        <v>Face Recognition Core Implementation</v>
      </c>
      <c r="F29" s="29" t="str">
        <f>=Dashboard!D59</f>
        <v>Muhammed Sadik KT</v>
      </c>
      <c r="G29" s="30" t="s">
        <v>239</v>
      </c>
      <c r="H29" s="26" t="s">
        <v>239</v>
      </c>
      <c r="I29" s="31" t="s">
        <v>239</v>
      </c>
      <c r="J29" s="32" t="s">
        <v>239</v>
      </c>
      <c r="K29" s="26" t="s">
        <v>239</v>
      </c>
      <c r="L29" s="33" t="s">
        <v>239</v>
      </c>
      <c r="M29" s="34" t="s">
        <v>239</v>
      </c>
      <c r="N29" s="26" t="s">
        <v>239</v>
      </c>
      <c r="O29" s="35" t="s">
        <v>239</v>
      </c>
    </row>
    <row r="30" ht="18" customHeight="1" spans="1:15" x14ac:dyDescent="0.25">
      <c r="A30" s="25" t="s">
        <v>239</v>
      </c>
      <c r="B30" s="26" t="s">
        <v>239</v>
      </c>
      <c r="C30" s="27" t="s">
        <v>239</v>
      </c>
      <c r="D30" s="28" t="str">
        <f>=Dashboard!A60</f>
        <v>TASK-FR-001</v>
      </c>
      <c r="E30" s="26" t="str">
        <f>=Dashboard!C60</f>
        <v>Dataset Collection</v>
      </c>
      <c r="F30" s="29" t="str">
        <f>=Dashboard!D60</f>
        <v>Fadi Ahmed</v>
      </c>
      <c r="G30" s="30" t="s">
        <v>239</v>
      </c>
      <c r="H30" s="26" t="s">
        <v>239</v>
      </c>
      <c r="I30" s="31" t="s">
        <v>239</v>
      </c>
      <c r="J30" s="32" t="s">
        <v>239</v>
      </c>
      <c r="K30" s="26" t="s">
        <v>239</v>
      </c>
      <c r="L30" s="33" t="s">
        <v>239</v>
      </c>
      <c r="M30" s="34" t="s">
        <v>239</v>
      </c>
      <c r="N30" s="26" t="s">
        <v>239</v>
      </c>
      <c r="O30" s="35" t="s">
        <v>239</v>
      </c>
    </row>
    <row r="31" ht="18" customHeight="1" spans="1:15" x14ac:dyDescent="0.25">
      <c r="A31" s="25" t="s">
        <v>239</v>
      </c>
      <c r="B31" s="26" t="s">
        <v>239</v>
      </c>
      <c r="C31" s="27" t="s">
        <v>239</v>
      </c>
      <c r="D31" s="28" t="str">
        <f>=Dashboard!A61</f>
        <v>TASK-FR-002</v>
      </c>
      <c r="E31" s="26" t="str">
        <f>=Dashboard!C61</f>
        <v>Prototype Refinement</v>
      </c>
      <c r="F31" s="29" t="str">
        <f>=Dashboard!D61</f>
        <v>Fadi Ahmed</v>
      </c>
      <c r="G31" s="30" t="s">
        <v>239</v>
      </c>
      <c r="H31" s="26" t="s">
        <v>239</v>
      </c>
      <c r="I31" s="31" t="s">
        <v>239</v>
      </c>
      <c r="J31" s="32" t="s">
        <v>239</v>
      </c>
      <c r="K31" s="26" t="s">
        <v>239</v>
      </c>
      <c r="L31" s="33" t="s">
        <v>239</v>
      </c>
      <c r="M31" s="34" t="s">
        <v>239</v>
      </c>
      <c r="N31" s="26" t="s">
        <v>239</v>
      </c>
      <c r="O31" s="35" t="s">
        <v>239</v>
      </c>
    </row>
    <row r="32" ht="18" customHeight="1" spans="1:15" x14ac:dyDescent="0.25">
      <c r="A32" s="25" t="s">
        <v>239</v>
      </c>
      <c r="B32" s="26" t="s">
        <v>239</v>
      </c>
      <c r="C32" s="27" t="s">
        <v>239</v>
      </c>
      <c r="D32" s="28" t="str">
        <f>=Dashboard!A62</f>
        <v>TASK-FR-003</v>
      </c>
      <c r="E32" s="26" t="str">
        <f>=Dashboard!C62</f>
        <v>Camera Integration Testing</v>
      </c>
      <c r="F32" s="29" t="str">
        <f>=Dashboard!D62</f>
        <v>Fadi Ahmed</v>
      </c>
      <c r="G32" s="30" t="s">
        <v>239</v>
      </c>
      <c r="H32" s="26" t="s">
        <v>239</v>
      </c>
      <c r="I32" s="31" t="s">
        <v>239</v>
      </c>
      <c r="J32" s="32" t="s">
        <v>239</v>
      </c>
      <c r="K32" s="26" t="s">
        <v>239</v>
      </c>
      <c r="L32" s="33" t="s">
        <v>239</v>
      </c>
      <c r="M32" s="34" t="s">
        <v>239</v>
      </c>
      <c r="N32" s="26" t="s">
        <v>239</v>
      </c>
      <c r="O32" s="35" t="s">
        <v>239</v>
      </c>
    </row>
    <row r="33" ht="18" customHeight="1" spans="1:15" x14ac:dyDescent="0.25">
      <c r="A33" s="25" t="s">
        <v>239</v>
      </c>
      <c r="B33" s="26" t="s">
        <v>239</v>
      </c>
      <c r="C33" s="27" t="s">
        <v>239</v>
      </c>
      <c r="D33" s="28" t="str">
        <f>=Dashboard!A63</f>
        <v>TASK-FR-004</v>
      </c>
      <c r="E33" s="26" t="str">
        <f>=Dashboard!C63</f>
        <v>Attendance Workflow Testing</v>
      </c>
      <c r="F33" s="29" t="str">
        <f>=Dashboard!D63</f>
        <v>Fadi Ahmed</v>
      </c>
      <c r="G33" s="30" t="s">
        <v>239</v>
      </c>
      <c r="H33" s="26" t="s">
        <v>239</v>
      </c>
      <c r="I33" s="31" t="s">
        <v>239</v>
      </c>
      <c r="J33" s="32" t="s">
        <v>239</v>
      </c>
      <c r="K33" s="26" t="s">
        <v>239</v>
      </c>
      <c r="L33" s="33" t="s">
        <v>239</v>
      </c>
      <c r="M33" s="34" t="s">
        <v>239</v>
      </c>
      <c r="N33" s="26" t="s">
        <v>239</v>
      </c>
      <c r="O33" s="35" t="s">
        <v>239</v>
      </c>
    </row>
    <row r="34" ht="18" customHeight="1" spans="1:15" x14ac:dyDescent="0.25">
      <c r="A34" s="25" t="s">
        <v>239</v>
      </c>
      <c r="B34" s="26" t="s">
        <v>239</v>
      </c>
      <c r="C34" s="27" t="s">
        <v>239</v>
      </c>
      <c r="D34" s="28" t="str">
        <f>=Dashboard!A64</f>
        <v>TASK-FR-005</v>
      </c>
      <c r="E34" s="26" t="str">
        <f>=Dashboard!C64</f>
        <v>Recognition Accuracy Testing</v>
      </c>
      <c r="F34" s="29" t="str">
        <f>=Dashboard!D64</f>
        <v>Fadi Ahmed</v>
      </c>
      <c r="G34" s="30" t="s">
        <v>239</v>
      </c>
      <c r="H34" s="26" t="s">
        <v>239</v>
      </c>
      <c r="I34" s="31" t="s">
        <v>239</v>
      </c>
      <c r="J34" s="32" t="s">
        <v>239</v>
      </c>
      <c r="K34" s="26" t="s">
        <v>239</v>
      </c>
      <c r="L34" s="33" t="s">
        <v>239</v>
      </c>
      <c r="M34" s="34" t="s">
        <v>239</v>
      </c>
      <c r="N34" s="26" t="s">
        <v>239</v>
      </c>
      <c r="O34" s="35" t="s">
        <v>239</v>
      </c>
    </row>
    <row r="35" ht="18" customHeight="1" spans="1:15" x14ac:dyDescent="0.25">
      <c r="A35" s="25" t="s">
        <v>239</v>
      </c>
      <c r="B35" s="26" t="s">
        <v>239</v>
      </c>
      <c r="C35" s="27" t="s">
        <v>239</v>
      </c>
      <c r="D35" s="28" t="str">
        <f>=Dashboard!A65</f>
        <v>TASK-FR-006</v>
      </c>
      <c r="E35" s="26" t="str">
        <f>=Dashboard!C65</f>
        <v>Cross-Browser Camera Testing</v>
      </c>
      <c r="F35" s="29" t="str">
        <f>=Dashboard!D65</f>
        <v>Fadi Ahmed</v>
      </c>
      <c r="G35" s="30" t="s">
        <v>239</v>
      </c>
      <c r="H35" s="26" t="s">
        <v>239</v>
      </c>
      <c r="I35" s="31" t="s">
        <v>239</v>
      </c>
      <c r="J35" s="32" t="s">
        <v>239</v>
      </c>
      <c r="K35" s="26" t="s">
        <v>239</v>
      </c>
      <c r="L35" s="33" t="s">
        <v>239</v>
      </c>
      <c r="M35" s="34" t="s">
        <v>239</v>
      </c>
      <c r="N35" s="26" t="s">
        <v>239</v>
      </c>
      <c r="O35" s="35" t="s">
        <v>239</v>
      </c>
    </row>
    <row r="36" ht="18" customHeight="1" spans="1:15" x14ac:dyDescent="0.25">
      <c r="A36" s="25" t="s">
        <v>239</v>
      </c>
      <c r="B36" s="26" t="s">
        <v>239</v>
      </c>
      <c r="C36" s="27" t="s">
        <v>239</v>
      </c>
      <c r="D36" s="28" t="str">
        <f>=Dashboard!A66</f>
        <v>TASK-FR-007</v>
      </c>
      <c r="E36" s="26" t="str">
        <f>=Dashboard!C66</f>
        <v>System Integration Testing</v>
      </c>
      <c r="F36" s="29" t="str">
        <f>=Dashboard!D66</f>
        <v>Fadi Ahmed</v>
      </c>
      <c r="G36" s="30" t="s">
        <v>239</v>
      </c>
      <c r="H36" s="26" t="s">
        <v>239</v>
      </c>
      <c r="I36" s="31" t="s">
        <v>239</v>
      </c>
      <c r="J36" s="32" t="s">
        <v>239</v>
      </c>
      <c r="K36" s="26" t="s">
        <v>239</v>
      </c>
      <c r="L36" s="33" t="s">
        <v>239</v>
      </c>
      <c r="M36" s="34" t="s">
        <v>239</v>
      </c>
      <c r="N36" s="26" t="s">
        <v>239</v>
      </c>
      <c r="O36" s="35" t="s">
        <v>239</v>
      </c>
    </row>
    <row r="37" ht="18" customHeight="1" spans="1:15" x14ac:dyDescent="0.25">
      <c r="A37" s="25" t="s">
        <v>239</v>
      </c>
      <c r="B37" s="26" t="s">
        <v>239</v>
      </c>
      <c r="C37" s="27" t="s">
        <v>239</v>
      </c>
      <c r="D37" s="28" t="str">
        <f>=Dashboard!A69</f>
        <v>TASK-QA-003</v>
      </c>
      <c r="E37" s="26" t="str">
        <f>=Dashboard!C69</f>
        <v>QA Reports</v>
      </c>
      <c r="F37" s="29" t="str">
        <f>=Dashboard!D69</f>
        <v>Minha Palakkathodi</v>
      </c>
      <c r="G37" s="30" t="s">
        <v>239</v>
      </c>
      <c r="H37" s="26" t="s">
        <v>239</v>
      </c>
      <c r="I37" s="31" t="s">
        <v>239</v>
      </c>
      <c r="J37" s="32" t="s">
        <v>239</v>
      </c>
      <c r="K37" s="26" t="s">
        <v>239</v>
      </c>
      <c r="L37" s="33" t="s">
        <v>239</v>
      </c>
      <c r="M37" s="34" t="s">
        <v>239</v>
      </c>
      <c r="N37" s="26" t="s">
        <v>239</v>
      </c>
      <c r="O37" s="35" t="s">
        <v>239</v>
      </c>
    </row>
    <row r="38" ht="18" customHeight="1" spans="1:15" x14ac:dyDescent="0.25">
      <c r="A38" s="25" t="s">
        <v>239</v>
      </c>
      <c r="B38" s="26" t="s">
        <v>239</v>
      </c>
      <c r="C38" s="27" t="s">
        <v>239</v>
      </c>
      <c r="D38" s="28" t="str">
        <f>=Dashboard!A70</f>
        <v>TASK-QA-004</v>
      </c>
      <c r="E38" s="26" t="str">
        <f>=Dashboard!C70</f>
        <v>UAT</v>
      </c>
      <c r="F38" s="29" t="str">
        <f>=Dashboard!D70</f>
        <v>Minha Palakkathodi</v>
      </c>
      <c r="G38" s="30" t="s">
        <v>239</v>
      </c>
      <c r="H38" s="26" t="s">
        <v>239</v>
      </c>
      <c r="I38" s="31" t="s">
        <v>239</v>
      </c>
      <c r="J38" s="32" t="s">
        <v>239</v>
      </c>
      <c r="K38" s="26" t="s">
        <v>239</v>
      </c>
      <c r="L38" s="33" t="s">
        <v>239</v>
      </c>
      <c r="M38" s="34" t="s">
        <v>239</v>
      </c>
      <c r="N38" s="26" t="s">
        <v>239</v>
      </c>
      <c r="O38" s="35" t="s">
        <v>239</v>
      </c>
    </row>
    <row r="39" ht="18" customHeight="1" spans="1:15" x14ac:dyDescent="0.25">
      <c r="A39" s="25" t="s">
        <v>239</v>
      </c>
      <c r="B39" s="26" t="s">
        <v>239</v>
      </c>
      <c r="C39" s="27" t="s">
        <v>239</v>
      </c>
      <c r="D39" s="28" t="str">
        <f>=Dashboard!A71</f>
        <v>TASK-QA-005</v>
      </c>
      <c r="E39" s="26" t="str">
        <f>=Dashboard!C71</f>
        <v>Handover Documentation</v>
      </c>
      <c r="F39" s="29" t="str">
        <f>=Dashboard!D71</f>
        <v>Minha Palakkathodi</v>
      </c>
      <c r="G39" s="30" t="s">
        <v>239</v>
      </c>
      <c r="H39" s="26" t="s">
        <v>239</v>
      </c>
      <c r="I39" s="31" t="s">
        <v>239</v>
      </c>
      <c r="J39" s="32" t="s">
        <v>239</v>
      </c>
      <c r="K39" s="26" t="s">
        <v>239</v>
      </c>
      <c r="L39" s="33" t="s">
        <v>239</v>
      </c>
      <c r="M39" s="34" t="s">
        <v>239</v>
      </c>
      <c r="N39" s="26" t="s">
        <v>239</v>
      </c>
      <c r="O39" s="35" t="s">
        <v>239</v>
      </c>
    </row>
    <row r="40" ht="18" customHeight="1" spans="1:15" x14ac:dyDescent="0.25">
      <c r="A40" s="25" t="s">
        <v>239</v>
      </c>
      <c r="B40" s="26" t="s">
        <v>239</v>
      </c>
      <c r="C40" s="27" t="s">
        <v>239</v>
      </c>
      <c r="D40" s="28" t="str">
        <f>=Dashboard!A72</f>
        <v>TASK-QA-006</v>
      </c>
      <c r="E40" s="26" t="str">
        <f>=Dashboard!C72</f>
        <v>Documentation Updates</v>
      </c>
      <c r="F40" s="29" t="str">
        <f>=Dashboard!D72</f>
        <v>Minha Palakkathodi</v>
      </c>
      <c r="G40" s="30" t="s">
        <v>239</v>
      </c>
      <c r="H40" s="26" t="s">
        <v>239</v>
      </c>
      <c r="I40" s="31" t="s">
        <v>239</v>
      </c>
      <c r="J40" s="32" t="s">
        <v>239</v>
      </c>
      <c r="K40" s="26" t="s">
        <v>239</v>
      </c>
      <c r="L40" s="33" t="s">
        <v>239</v>
      </c>
      <c r="M40" s="34" t="s">
        <v>239</v>
      </c>
      <c r="N40" s="26" t="s">
        <v>239</v>
      </c>
      <c r="O40" s="35" t="s">
        <v>239</v>
      </c>
    </row>
    <row r="41" ht="18" customHeight="1" spans="1:15" x14ac:dyDescent="0.25">
      <c r="A41" s="25" t="s">
        <v>239</v>
      </c>
      <c r="B41" s="26" t="s">
        <v>239</v>
      </c>
      <c r="C41" s="27" t="s">
        <v>239</v>
      </c>
      <c r="D41" s="28" t="s">
        <v>239</v>
      </c>
      <c r="E41" s="26" t="s">
        <v>239</v>
      </c>
      <c r="F41" s="29" t="s">
        <v>239</v>
      </c>
      <c r="G41" s="30" t="s">
        <v>239</v>
      </c>
      <c r="H41" s="26" t="s">
        <v>239</v>
      </c>
      <c r="I41" s="31" t="s">
        <v>239</v>
      </c>
      <c r="J41" s="32" t="s">
        <v>239</v>
      </c>
      <c r="K41" s="26" t="s">
        <v>239</v>
      </c>
      <c r="L41" s="33" t="s">
        <v>239</v>
      </c>
      <c r="M41" s="34" t="s">
        <v>239</v>
      </c>
      <c r="N41" s="26" t="s">
        <v>239</v>
      </c>
      <c r="O41" s="35" t="s">
        <v>239</v>
      </c>
    </row>
  </sheetData>
  <mergeCells count="6">
    <mergeCell ref="A1:O1"/>
    <mergeCell ref="A5:C5"/>
    <mergeCell ref="D5:F5"/>
    <mergeCell ref="G5:I5"/>
    <mergeCell ref="J5:L5"/>
    <mergeCell ref="M5:O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0" width="40" customWidth="1"/>
  </cols>
  <sheetData>
    <row r="1" ht="24" customHeight="1" spans="1:10" x14ac:dyDescent="0.25">
      <c r="A1" s="36" t="s">
        <v>240</v>
      </c>
      <c r="B1" s="36"/>
      <c r="C1" s="36"/>
      <c r="D1" s="36"/>
      <c r="E1" s="36"/>
      <c r="F1" s="36"/>
      <c r="G1" s="36"/>
      <c r="H1" s="36"/>
      <c r="I1" s="36"/>
      <c r="J1" s="36"/>
    </row>
    <row r="2" ht="28" customHeight="1" spans="1:10" x14ac:dyDescent="0.25">
      <c r="A2" s="12" t="s">
        <v>39</v>
      </c>
      <c r="B2" s="12" t="s">
        <v>41</v>
      </c>
      <c r="C2" s="12" t="s">
        <v>42</v>
      </c>
      <c r="D2" s="12" t="s">
        <v>43</v>
      </c>
      <c r="E2" s="12" t="s">
        <v>47</v>
      </c>
      <c r="F2" s="12" t="s">
        <v>44</v>
      </c>
      <c r="G2" s="12" t="s">
        <v>241</v>
      </c>
      <c r="H2" s="12" t="s">
        <v>242</v>
      </c>
      <c r="I2" s="12" t="s">
        <v>243</v>
      </c>
      <c r="J2" s="12" t="s">
        <v>50</v>
      </c>
    </row>
    <row r="3" spans="1:10" x14ac:dyDescent="0.25">
      <c r="A3" s="13" t="str">
        <f>=Dashboard!A16</f>
        <v>TASK-INF-001</v>
      </c>
      <c r="B3" s="6" t="str">
        <f>=Dashboard!C16</f>
        <v>MongoDB Atlas Setup</v>
      </c>
      <c r="C3" s="6" t="str">
        <f>=Dashboard!D16</f>
        <v>Adithyan N</v>
      </c>
      <c r="D3" s="13" t="str">
        <f>=Dashboard!E16</f>
        <v>Critical</v>
      </c>
      <c r="E3" s="13" t="str">
        <f>=Dashboard!I16</f>
        <v>None</v>
      </c>
      <c r="F3" s="13" t="str">
        <f>=Dashboard!F16</f>
        <v>Completed</v>
      </c>
      <c r="G3" s="6" t="s">
        <v>244</v>
      </c>
      <c r="H3" s="13" t="s">
        <v>245</v>
      </c>
      <c r="I3" s="13" t="s">
        <v>245</v>
      </c>
      <c r="J3" s="6" t="str">
        <f>=Dashboard!L16</f>
        <v>Admin controls configured and database connection verified</v>
      </c>
    </row>
    <row r="4" spans="1:10" x14ac:dyDescent="0.25">
      <c r="A4" s="15" t="str">
        <f>=Dashboard!A17</f>
        <v>TASK-INF-002</v>
      </c>
      <c r="B4" s="9" t="str">
        <f>=Dashboard!C17</f>
        <v>Environment Configuration</v>
      </c>
      <c r="C4" s="9" t="str">
        <f>=Dashboard!D17</f>
        <v>Muhammad Sanish</v>
      </c>
      <c r="D4" s="15" t="str">
        <f>=Dashboard!E17</f>
        <v>High</v>
      </c>
      <c r="E4" s="15" t="str">
        <f>=Dashboard!I17</f>
        <v>None</v>
      </c>
      <c r="F4" s="15" t="str">
        <f>=Dashboard!F17</f>
        <v>Completed</v>
      </c>
      <c r="G4" s="9" t="s">
        <v>246</v>
      </c>
      <c r="H4" s="15" t="s">
        <v>245</v>
      </c>
      <c r="I4" s="15" t="s">
        <v>245</v>
      </c>
      <c r="J4" s="9" t="str">
        <f>=Dashboard!L17</f>
        <v>No secrets committed, configuration structure validated</v>
      </c>
    </row>
    <row r="5" spans="1:10" x14ac:dyDescent="0.25">
      <c r="A5" s="13" t="str">
        <f>=Dashboard!A20</f>
        <v>TASK-FE-001</v>
      </c>
      <c r="B5" s="6" t="str">
        <f>=Dashboard!C20</f>
        <v>React Setup</v>
      </c>
      <c r="C5" s="6" t="str">
        <f>=Dashboard!D20</f>
        <v>Adithyan N</v>
      </c>
      <c r="D5" s="13" t="str">
        <f>=Dashboard!E20</f>
        <v>High</v>
      </c>
      <c r="E5" s="13" t="str">
        <f>=Dashboard!I20</f>
        <v>None</v>
      </c>
      <c r="F5" s="13" t="str">
        <f>=Dashboard!F20</f>
        <v>Completed</v>
      </c>
      <c r="G5" s="6" t="s">
        <v>247</v>
      </c>
      <c r="H5" s="13" t="s">
        <v>245</v>
      </c>
      <c r="I5" s="13" t="s">
        <v>245</v>
      </c>
      <c r="J5" s="6" t="str">
        <f>=Dashboard!L20</f>
        <v>Vite React scaffolded with standard directory layout</v>
      </c>
    </row>
    <row r="6" spans="1:10" x14ac:dyDescent="0.25">
      <c r="A6" s="15" t="str">
        <f>=Dashboard!A21</f>
        <v>TASK-FE-002</v>
      </c>
      <c r="B6" s="9" t="str">
        <f>=Dashboard!C21</f>
        <v>Tailwind Setup</v>
      </c>
      <c r="C6" s="9" t="str">
        <f>=Dashboard!D21</f>
        <v>Adithyan N</v>
      </c>
      <c r="D6" s="15" t="str">
        <f>=Dashboard!E21</f>
        <v>High</v>
      </c>
      <c r="E6" s="15" t="str">
        <f>=Dashboard!I21</f>
        <v>TASK-FE-001</v>
      </c>
      <c r="F6" s="15" t="str">
        <f>=Dashboard!F21</f>
        <v>Completed</v>
      </c>
      <c r="G6" s="9" t="s">
        <v>248</v>
      </c>
      <c r="H6" s="15" t="s">
        <v>245</v>
      </c>
      <c r="I6" s="15" t="s">
        <v>245</v>
      </c>
      <c r="J6" s="9" t="str">
        <f>=Dashboard!L21</f>
        <v>Tailwind configuration, colors, and typography set up</v>
      </c>
    </row>
    <row r="7" spans="1:10" x14ac:dyDescent="0.25">
      <c r="A7" s="13" t="str">
        <f>=Dashboard!A49</f>
        <v>TASK-DB-001</v>
      </c>
      <c r="B7" s="6" t="str">
        <f>=Dashboard!C49</f>
        <v>Core Schema Creation</v>
      </c>
      <c r="C7" s="6" t="str">
        <f>=Dashboard!D49</f>
        <v>Fathima Hana</v>
      </c>
      <c r="D7" s="13" t="str">
        <f>=Dashboard!E49</f>
        <v>Critical</v>
      </c>
      <c r="E7" s="13" t="str">
        <f>=Dashboard!I49</f>
        <v>TASK-INF-001</v>
      </c>
      <c r="F7" s="13" t="str">
        <f>=Dashboard!F49</f>
        <v>Completed</v>
      </c>
      <c r="G7" s="6" t="s">
        <v>249</v>
      </c>
      <c r="H7" s="13" t="s">
        <v>245</v>
      </c>
      <c r="I7" s="13" t="s">
        <v>245</v>
      </c>
      <c r="J7" s="6" t="str">
        <f>=Dashboard!L49</f>
        <v>Support: Adithyan N. Constraints loaded and DB connection active</v>
      </c>
    </row>
  </sheetData>
  <autoFilter ref="A2:J7"/>
  <mergeCells count="1">
    <mergeCell ref="A1:J1"/>
  </mergeCells>
  <conditionalFormatting sqref="F3:F7">
    <cfRule type="cellIs" dxfId="9" priority="1" operator="equal">
      <formula>"Completed"</formula>
    </cfRule>
    <cfRule type="cellIs" dxfId="10" priority="2" operator="equal">
      <formula>"In Progress"</formula>
    </cfRule>
    <cfRule type="cellIs" dxfId="11" priority="3" operator="equal">
      <formula>"Review"</formula>
    </cfRule>
    <cfRule type="cellIs" dxfId="12" priority="4" operator="equal">
      <formula>"Blocked"</formula>
    </cfRule>
    <cfRule type="cellIs" dxfId="13" priority="5" operator="equal">
      <formula>"Not Started"</formula>
    </cfRule>
  </conditionalFormatting>
  <conditionalFormatting sqref="D3:D7">
    <cfRule type="cellIs" dxfId="14" priority="6" operator="equal">
      <formula>"Critical"</formula>
    </cfRule>
    <cfRule type="cellIs" dxfId="15" priority="7" operator="equal">
      <formula>"High"</formula>
    </cfRule>
    <cfRule type="cellIs" dxfId="16" priority="8" operator="equal">
      <formula>"Medium"</formula>
    </cfRule>
    <cfRule type="cellIs" dxfId="17" priority="9" operator="equal">
      <formula>"Low"</formula>
    </cfRule>
  </conditionalFormatting>
  <dataValidations count="2">
    <dataValidation type="list" allowBlank="1" sqref="D3:D7">
      <formula1>"Critical,High,Medium,Low"</formula1>
    </dataValidation>
    <dataValidation type="list" allowBlank="1" sqref="F3:F7">
      <formula1>"Not Started,In Progress,Review,Completed,Blocked"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0" width="40" customWidth="1"/>
  </cols>
  <sheetData>
    <row r="1" ht="24" customHeight="1" spans="1:10" x14ac:dyDescent="0.25">
      <c r="A1" s="36" t="s">
        <v>250</v>
      </c>
      <c r="B1" s="36"/>
      <c r="C1" s="36"/>
      <c r="D1" s="36"/>
      <c r="E1" s="36"/>
      <c r="F1" s="36"/>
      <c r="G1" s="36"/>
      <c r="H1" s="36"/>
      <c r="I1" s="36"/>
      <c r="J1" s="36"/>
    </row>
    <row r="2" ht="28" customHeight="1" spans="1:10" x14ac:dyDescent="0.25">
      <c r="A2" s="12" t="s">
        <v>39</v>
      </c>
      <c r="B2" s="12" t="s">
        <v>41</v>
      </c>
      <c r="C2" s="12" t="s">
        <v>42</v>
      </c>
      <c r="D2" s="12" t="s">
        <v>43</v>
      </c>
      <c r="E2" s="12" t="s">
        <v>47</v>
      </c>
      <c r="F2" s="12" t="s">
        <v>44</v>
      </c>
      <c r="G2" s="12" t="s">
        <v>241</v>
      </c>
      <c r="H2" s="12" t="s">
        <v>242</v>
      </c>
      <c r="I2" s="12" t="s">
        <v>243</v>
      </c>
      <c r="J2" s="12" t="s">
        <v>50</v>
      </c>
    </row>
    <row r="3" spans="1:10" x14ac:dyDescent="0.25">
      <c r="A3" s="13" t="str">
        <f>=Dashboard!A18</f>
        <v>TASK-INF-003</v>
      </c>
      <c r="B3" s="6" t="str">
        <f>=Dashboard!C18</f>
        <v>Logging Infrastructure Setup</v>
      </c>
      <c r="C3" s="6" t="str">
        <f>=Dashboard!D18</f>
        <v>Muhammad Sanish</v>
      </c>
      <c r="D3" s="13" t="str">
        <f>=Dashboard!E18</f>
        <v>Medium</v>
      </c>
      <c r="E3" s="13" t="str">
        <f>=Dashboard!I18</f>
        <v>TASK-INF-002</v>
      </c>
      <c r="F3" s="13" t="str">
        <f>=Dashboard!F18</f>
        <v>Completed</v>
      </c>
      <c r="G3" s="6" t="s">
        <v>251</v>
      </c>
      <c r="H3" s="13" t="s">
        <v>245</v>
      </c>
      <c r="I3" s="13" t="s">
        <v>245</v>
      </c>
      <c r="J3" s="6" t="str">
        <f>=Dashboard!L18</f>
        <v>Sensitive data redacted in Winston streams</v>
      </c>
    </row>
    <row r="4" spans="1:10" x14ac:dyDescent="0.25">
      <c r="A4" s="15" t="str">
        <f>=Dashboard!A22</f>
        <v>TASK-FE-003</v>
      </c>
      <c r="B4" s="9" t="str">
        <f>=Dashboard!C22</f>
        <v>Routing</v>
      </c>
      <c r="C4" s="9" t="str">
        <f>=Dashboard!D22</f>
        <v>Adithyan N</v>
      </c>
      <c r="D4" s="15" t="str">
        <f>=Dashboard!E22</f>
        <v>High</v>
      </c>
      <c r="E4" s="15" t="str">
        <f>=Dashboard!I22</f>
        <v>TASK-FE-001</v>
      </c>
      <c r="F4" s="15" t="str">
        <f>=Dashboard!F22</f>
        <v>Completed</v>
      </c>
      <c r="G4" s="9" t="s">
        <v>252</v>
      </c>
      <c r="H4" s="15" t="s">
        <v>245</v>
      </c>
      <c r="I4" s="15" t="s">
        <v>245</v>
      </c>
      <c r="J4" s="9" t="str">
        <f>=Dashboard!L22</f>
        <v>Browser router routes setup, layout routes configured</v>
      </c>
    </row>
    <row r="5" spans="1:10" x14ac:dyDescent="0.25">
      <c r="A5" s="13" t="str">
        <f>=Dashboard!A23</f>
        <v>TASK-FE-004</v>
      </c>
      <c r="B5" s="6" t="str">
        <f>=Dashboard!C23</f>
        <v>Protected Routes</v>
      </c>
      <c r="C5" s="6" t="str">
        <f>=Dashboard!D23</f>
        <v>Adithyan N</v>
      </c>
      <c r="D5" s="13" t="str">
        <f>=Dashboard!E23</f>
        <v>High</v>
      </c>
      <c r="E5" s="13" t="str">
        <f>=Dashboard!I23</f>
        <v>TASK-FE-003</v>
      </c>
      <c r="F5" s="13" t="str">
        <f>=Dashboard!F23</f>
        <v>Completed</v>
      </c>
      <c r="G5" s="6" t="s">
        <v>253</v>
      </c>
      <c r="H5" s="13" t="s">
        <v>245</v>
      </c>
      <c r="I5" s="13" t="s">
        <v>245</v>
      </c>
      <c r="J5" s="6" t="str">
        <f>=Dashboard!L23</f>
        <v>Client RBAC guard integrated with token decoder</v>
      </c>
    </row>
    <row r="6" spans="1:10" x14ac:dyDescent="0.25">
      <c r="A6" s="15" t="str">
        <f>=Dashboard!A24</f>
        <v>TASK-FE-005</v>
      </c>
      <c r="B6" s="9" t="str">
        <f>=Dashboard!C24</f>
        <v>Axios Setup</v>
      </c>
      <c r="C6" s="9" t="str">
        <f>=Dashboard!D24</f>
        <v>Adithyan N</v>
      </c>
      <c r="D6" s="15" t="str">
        <f>=Dashboard!E24</f>
        <v>High</v>
      </c>
      <c r="E6" s="15" t="str">
        <f>=Dashboard!I24</f>
        <v>None</v>
      </c>
      <c r="F6" s="15" t="str">
        <f>=Dashboard!F24</f>
        <v>Completed</v>
      </c>
      <c r="G6" s="9" t="s">
        <v>254</v>
      </c>
      <c r="H6" s="15" t="s">
        <v>245</v>
      </c>
      <c r="I6" s="15" t="s">
        <v>245</v>
      </c>
      <c r="J6" s="9" t="str">
        <f>=Dashboard!L24</f>
        <v>JWT interceptor setup, retry limits configured</v>
      </c>
    </row>
    <row r="7" spans="1:10" x14ac:dyDescent="0.25">
      <c r="A7" s="13" t="str">
        <f>=Dashboard!A38</f>
        <v>TASK-BE-001</v>
      </c>
      <c r="B7" s="6" t="str">
        <f>=Dashboard!C38</f>
        <v>Express Setup</v>
      </c>
      <c r="C7" s="6" t="str">
        <f>=Dashboard!D38</f>
        <v>Muhammad Sanish</v>
      </c>
      <c r="D7" s="13" t="str">
        <f>=Dashboard!E38</f>
        <v>Critical</v>
      </c>
      <c r="E7" s="13" t="str">
        <f>=Dashboard!I38</f>
        <v>TASK-INF-002</v>
      </c>
      <c r="F7" s="13" t="str">
        <f>=Dashboard!F38</f>
        <v>Completed</v>
      </c>
      <c r="G7" s="6" t="s">
        <v>255</v>
      </c>
      <c r="H7" s="13" t="s">
        <v>245</v>
      </c>
      <c r="I7" s="13" t="s">
        <v>245</v>
      </c>
      <c r="J7" s="6" t="str">
        <f>=Dashboard!L38</f>
        <v>Winston logger active and CORS rules applied</v>
      </c>
    </row>
    <row r="8" spans="1:10" x14ac:dyDescent="0.25">
      <c r="A8" s="15" t="str">
        <f>=Dashboard!A50</f>
        <v>TASK-DB-002</v>
      </c>
      <c r="B8" s="9" t="str">
        <f>=Dashboard!C50</f>
        <v>Mongoose Models</v>
      </c>
      <c r="C8" s="9" t="str">
        <f>=Dashboard!D50</f>
        <v>Fathima Hana</v>
      </c>
      <c r="D8" s="15" t="str">
        <f>=Dashboard!E50</f>
        <v>Critical</v>
      </c>
      <c r="E8" s="15" t="str">
        <f>=Dashboard!I50</f>
        <v>TASK-DB-001</v>
      </c>
      <c r="F8" s="15" t="str">
        <f>=Dashboard!F50</f>
        <v>Completed</v>
      </c>
      <c r="G8" s="9" t="s">
        <v>256</v>
      </c>
      <c r="H8" s="15" t="s">
        <v>245</v>
      </c>
      <c r="I8" s="15" t="s">
        <v>245</v>
      </c>
      <c r="J8" s="9" t="str">
        <f>=Dashboard!L50</f>
        <v>Support: Adithyan N. Unique key bounds and validators active</v>
      </c>
    </row>
    <row r="9" spans="1:10" x14ac:dyDescent="0.25">
      <c r="A9" s="13" t="str">
        <f>=Dashboard!A68</f>
        <v>TASK-QA-002</v>
      </c>
      <c r="B9" s="6" t="str">
        <f>=Dashboard!C68</f>
        <v>Traceability Matrix</v>
      </c>
      <c r="C9" s="6" t="str">
        <f>=Dashboard!D68</f>
        <v>Minha Palakkathodi</v>
      </c>
      <c r="D9" s="13" t="str">
        <f>=Dashboard!E68</f>
        <v>High</v>
      </c>
      <c r="E9" s="13" t="str">
        <f>=Dashboard!I68</f>
        <v>None</v>
      </c>
      <c r="F9" s="13" t="str">
        <f>=Dashboard!F68</f>
        <v>Completed</v>
      </c>
      <c r="G9" s="6" t="s">
        <v>257</v>
      </c>
      <c r="H9" s="13" t="s">
        <v>245</v>
      </c>
      <c r="I9" s="13" t="s">
        <v>245</v>
      </c>
      <c r="J9" s="6" t="str">
        <f>=Dashboard!L68</f>
        <v>SRS mappings verified and formatted</v>
      </c>
    </row>
  </sheetData>
  <autoFilter ref="A2:J9"/>
  <mergeCells count="1">
    <mergeCell ref="A1:J1"/>
  </mergeCells>
  <conditionalFormatting sqref="F3:F9">
    <cfRule type="cellIs" dxfId="18" priority="1" operator="equal">
      <formula>"Completed"</formula>
    </cfRule>
    <cfRule type="cellIs" dxfId="19" priority="2" operator="equal">
      <formula>"In Progress"</formula>
    </cfRule>
    <cfRule type="cellIs" dxfId="20" priority="3" operator="equal">
      <formula>"Review"</formula>
    </cfRule>
    <cfRule type="cellIs" dxfId="21" priority="4" operator="equal">
      <formula>"Blocked"</formula>
    </cfRule>
    <cfRule type="cellIs" dxfId="22" priority="5" operator="equal">
      <formula>"Not Started"</formula>
    </cfRule>
  </conditionalFormatting>
  <conditionalFormatting sqref="D3:D9">
    <cfRule type="cellIs" dxfId="23" priority="6" operator="equal">
      <formula>"Critical"</formula>
    </cfRule>
    <cfRule type="cellIs" dxfId="24" priority="7" operator="equal">
      <formula>"High"</formula>
    </cfRule>
    <cfRule type="cellIs" dxfId="25" priority="8" operator="equal">
      <formula>"Medium"</formula>
    </cfRule>
    <cfRule type="cellIs" dxfId="26" priority="9" operator="equal">
      <formula>"Low"</formula>
    </cfRule>
  </conditionalFormatting>
  <dataValidations count="2">
    <dataValidation type="list" allowBlank="1" sqref="D3:D9">
      <formula1>"Critical,High,Medium,Low"</formula1>
    </dataValidation>
    <dataValidation type="list" allowBlank="1" sqref="F3:F9">
      <formula1>"Not Started,In Progress,Review,Completed,Blocked"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0" width="40" customWidth="1"/>
  </cols>
  <sheetData>
    <row r="1" ht="24" customHeight="1" spans="1:10" x14ac:dyDescent="0.25">
      <c r="A1" s="36" t="s">
        <v>258</v>
      </c>
      <c r="B1" s="36"/>
      <c r="C1" s="36"/>
      <c r="D1" s="36"/>
      <c r="E1" s="36"/>
      <c r="F1" s="36"/>
      <c r="G1" s="36"/>
      <c r="H1" s="36"/>
      <c r="I1" s="36"/>
      <c r="J1" s="36"/>
    </row>
    <row r="2" ht="28" customHeight="1" spans="1:10" x14ac:dyDescent="0.25">
      <c r="A2" s="12" t="s">
        <v>39</v>
      </c>
      <c r="B2" s="12" t="s">
        <v>41</v>
      </c>
      <c r="C2" s="12" t="s">
        <v>42</v>
      </c>
      <c r="D2" s="12" t="s">
        <v>43</v>
      </c>
      <c r="E2" s="12" t="s">
        <v>47</v>
      </c>
      <c r="F2" s="12" t="s">
        <v>44</v>
      </c>
      <c r="G2" s="12" t="s">
        <v>241</v>
      </c>
      <c r="H2" s="12" t="s">
        <v>242</v>
      </c>
      <c r="I2" s="12" t="s">
        <v>243</v>
      </c>
      <c r="J2" s="12" t="s">
        <v>50</v>
      </c>
    </row>
    <row r="3" spans="1:10" x14ac:dyDescent="0.25">
      <c r="A3" s="13" t="str">
        <f>=Dashboard!A25</f>
        <v>TASK-FE-006</v>
      </c>
      <c r="B3" s="6" t="str">
        <f>=Dashboard!C25</f>
        <v>Authentication UI</v>
      </c>
      <c r="C3" s="6" t="str">
        <f>=Dashboard!D25</f>
        <v>Adithyan N</v>
      </c>
      <c r="D3" s="13" t="str">
        <f>=Dashboard!E25</f>
        <v>High</v>
      </c>
      <c r="E3" s="13" t="str">
        <f>=Dashboard!I25</f>
        <v>TASK-FE-004</v>
      </c>
      <c r="F3" s="13" t="str">
        <f>=Dashboard!F25</f>
        <v>Completed</v>
      </c>
      <c r="G3" s="6" t="s">
        <v>259</v>
      </c>
      <c r="H3" s="13" t="s">
        <v>245</v>
      </c>
      <c r="I3" s="13" t="s">
        <v>245</v>
      </c>
      <c r="J3" s="6" t="str">
        <f>=Dashboard!L25</f>
        <v>Secure cookie setup and form validations active</v>
      </c>
    </row>
    <row r="4" spans="1:10" x14ac:dyDescent="0.25">
      <c r="A4" s="15" t="str">
        <f>=Dashboard!A26</f>
        <v>TASK-FE-007</v>
      </c>
      <c r="B4" s="9" t="str">
        <f>=Dashboard!C26</f>
        <v>Citizen Dashboard</v>
      </c>
      <c r="C4" s="9" t="str">
        <f>=Dashboard!D26</f>
        <v>Adithyan N</v>
      </c>
      <c r="D4" s="15" t="str">
        <f>=Dashboard!E26</f>
        <v>High</v>
      </c>
      <c r="E4" s="15" t="str">
        <f>=Dashboard!I26</f>
        <v>TASK-FE-004</v>
      </c>
      <c r="F4" s="15" t="str">
        <f>=Dashboard!F26</f>
        <v>Completed</v>
      </c>
      <c r="G4" s="9" t="s">
        <v>260</v>
      </c>
      <c r="H4" s="15" t="s">
        <v>245</v>
      </c>
      <c r="I4" s="15" t="s">
        <v>245</v>
      </c>
      <c r="J4" s="9" t="str">
        <f>=Dashboard!L26</f>
        <v>Overview console with responsive metrics cards active</v>
      </c>
    </row>
    <row r="5" spans="1:10" x14ac:dyDescent="0.25">
      <c r="A5" s="13" t="str">
        <f>=Dashboard!A39</f>
        <v>TASK-BE-002</v>
      </c>
      <c r="B5" s="6" t="str">
        <f>=Dashboard!C39</f>
        <v>JWT Authentication</v>
      </c>
      <c r="C5" s="6" t="str">
        <f>=Dashboard!D39</f>
        <v>Muhammad Sanish</v>
      </c>
      <c r="D5" s="13" t="str">
        <f>=Dashboard!E39</f>
        <v>Critical</v>
      </c>
      <c r="E5" s="13" t="str">
        <f>=Dashboard!I39</f>
        <v>TASK-BE-001</v>
      </c>
      <c r="F5" s="13" t="str">
        <f>=Dashboard!F39</f>
        <v>Completed</v>
      </c>
      <c r="G5" s="6" t="s">
        <v>261</v>
      </c>
      <c r="H5" s="13" t="s">
        <v>245</v>
      </c>
      <c r="I5" s="13" t="s">
        <v>245</v>
      </c>
      <c r="J5" s="6" t="str">
        <f>=Dashboard!L39</f>
        <v>Bcrypt hashed passwords verified on register</v>
      </c>
    </row>
    <row r="6" spans="1:10" x14ac:dyDescent="0.25">
      <c r="A6" s="15" t="str">
        <f>=Dashboard!A40</f>
        <v>TASK-BE-003</v>
      </c>
      <c r="B6" s="9" t="str">
        <f>=Dashboard!C40</f>
        <v>RBAC</v>
      </c>
      <c r="C6" s="9" t="str">
        <f>=Dashboard!D40</f>
        <v>Muhammad Sanish</v>
      </c>
      <c r="D6" s="15" t="str">
        <f>=Dashboard!E40</f>
        <v>Critical</v>
      </c>
      <c r="E6" s="15" t="str">
        <f>=Dashboard!I40</f>
        <v>TASK-BE-002</v>
      </c>
      <c r="F6" s="15" t="str">
        <f>=Dashboard!F40</f>
        <v>Completed</v>
      </c>
      <c r="G6" s="9" t="s">
        <v>262</v>
      </c>
      <c r="H6" s="15" t="s">
        <v>245</v>
      </c>
      <c r="I6" s="15" t="s">
        <v>245</v>
      </c>
      <c r="J6" s="9" t="str">
        <f>=Dashboard!L40</f>
        <v>Token payload checks for Citizen, Staff, Admin active</v>
      </c>
    </row>
    <row r="7" spans="1:10" x14ac:dyDescent="0.25">
      <c r="A7" s="13" t="str">
        <f>=Dashboard!A67</f>
        <v>TASK-QA-001</v>
      </c>
      <c r="B7" s="6" t="str">
        <f>=Dashboard!C67</f>
        <v>Test Cases</v>
      </c>
      <c r="C7" s="6" t="str">
        <f>=Dashboard!D67</f>
        <v>Minha Palakkathodi</v>
      </c>
      <c r="D7" s="13" t="str">
        <f>=Dashboard!E67</f>
        <v>High</v>
      </c>
      <c r="E7" s="13" t="str">
        <f>=Dashboard!I67</f>
        <v>None</v>
      </c>
      <c r="F7" s="13" t="str">
        <f>=Dashboard!F67</f>
        <v>Completed</v>
      </c>
      <c r="G7" s="6" t="s">
        <v>263</v>
      </c>
      <c r="H7" s="13" t="s">
        <v>245</v>
      </c>
      <c r="I7" s="13" t="s">
        <v>245</v>
      </c>
      <c r="J7" s="6" t="str">
        <f>=Dashboard!L67</f>
        <v>Validation schedules and manual test logs created</v>
      </c>
    </row>
  </sheetData>
  <autoFilter ref="A2:J7"/>
  <mergeCells count="1">
    <mergeCell ref="A1:J1"/>
  </mergeCells>
  <conditionalFormatting sqref="F3:F7">
    <cfRule type="cellIs" dxfId="27" priority="1" operator="equal">
      <formula>"Completed"</formula>
    </cfRule>
    <cfRule type="cellIs" dxfId="28" priority="2" operator="equal">
      <formula>"In Progress"</formula>
    </cfRule>
    <cfRule type="cellIs" dxfId="29" priority="3" operator="equal">
      <formula>"Review"</formula>
    </cfRule>
    <cfRule type="cellIs" dxfId="30" priority="4" operator="equal">
      <formula>"Blocked"</formula>
    </cfRule>
    <cfRule type="cellIs" dxfId="31" priority="5" operator="equal">
      <formula>"Not Started"</formula>
    </cfRule>
  </conditionalFormatting>
  <conditionalFormatting sqref="D3:D7">
    <cfRule type="cellIs" dxfId="32" priority="6" operator="equal">
      <formula>"Critical"</formula>
    </cfRule>
    <cfRule type="cellIs" dxfId="33" priority="7" operator="equal">
      <formula>"High"</formula>
    </cfRule>
    <cfRule type="cellIs" dxfId="34" priority="8" operator="equal">
      <formula>"Medium"</formula>
    </cfRule>
    <cfRule type="cellIs" dxfId="35" priority="9" operator="equal">
      <formula>"Low"</formula>
    </cfRule>
  </conditionalFormatting>
  <dataValidations count="2">
    <dataValidation type="list" allowBlank="1" sqref="D3:D7">
      <formula1>"Critical,High,Medium,Low"</formula1>
    </dataValidation>
    <dataValidation type="list" allowBlank="1" sqref="F3:F7">
      <formula1>"Not Started,In Progress,Review,Completed,Blocked"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0" width="40" customWidth="1"/>
  </cols>
  <sheetData>
    <row r="1" ht="24" customHeight="1" spans="1:10" x14ac:dyDescent="0.25">
      <c r="A1" s="36" t="s">
        <v>264</v>
      </c>
      <c r="B1" s="36"/>
      <c r="C1" s="36"/>
      <c r="D1" s="36"/>
      <c r="E1" s="36"/>
      <c r="F1" s="36"/>
      <c r="G1" s="36"/>
      <c r="H1" s="36"/>
      <c r="I1" s="36"/>
      <c r="J1" s="36"/>
    </row>
    <row r="2" ht="28" customHeight="1" spans="1:10" x14ac:dyDescent="0.25">
      <c r="A2" s="12" t="s">
        <v>39</v>
      </c>
      <c r="B2" s="12" t="s">
        <v>41</v>
      </c>
      <c r="C2" s="12" t="s">
        <v>42</v>
      </c>
      <c r="D2" s="12" t="s">
        <v>43</v>
      </c>
      <c r="E2" s="12" t="s">
        <v>47</v>
      </c>
      <c r="F2" s="12" t="s">
        <v>44</v>
      </c>
      <c r="G2" s="12" t="s">
        <v>241</v>
      </c>
      <c r="H2" s="12" t="s">
        <v>242</v>
      </c>
      <c r="I2" s="12" t="s">
        <v>243</v>
      </c>
      <c r="J2" s="12" t="s">
        <v>50</v>
      </c>
    </row>
    <row r="3" spans="1:10" x14ac:dyDescent="0.25">
      <c r="A3" s="13" t="str">
        <f>=Dashboard!A27</f>
        <v>TASK-FE-008</v>
      </c>
      <c r="B3" s="6" t="str">
        <f>=Dashboard!C27</f>
        <v>Complaint UI</v>
      </c>
      <c r="C3" s="6" t="str">
        <f>=Dashboard!D27</f>
        <v>Adithyan N</v>
      </c>
      <c r="D3" s="13" t="str">
        <f>=Dashboard!E27</f>
        <v>High</v>
      </c>
      <c r="E3" s="13" t="str">
        <f>=Dashboard!I27</f>
        <v>TASK-FE-007</v>
      </c>
      <c r="F3" s="13" t="str">
        <f>=Dashboard!F27</f>
        <v>In Progress</v>
      </c>
      <c r="G3" s="6" t="s">
        <v>265</v>
      </c>
      <c r="H3" s="13" t="s">
        <v>245</v>
      </c>
      <c r="I3" s="13" t="s">
        <v>245</v>
      </c>
      <c r="J3" s="6" t="str">
        <f>=Dashboard!L27</f>
        <v>Input sanitizations in progress, UI layout complete</v>
      </c>
    </row>
    <row r="4" spans="1:10" x14ac:dyDescent="0.25">
      <c r="A4" s="15" t="str">
        <f>=Dashboard!A28</f>
        <v>TASK-FE-009</v>
      </c>
      <c r="B4" s="9" t="str">
        <f>=Dashboard!C28</f>
        <v>File Tracking UI</v>
      </c>
      <c r="C4" s="9" t="str">
        <f>=Dashboard!D28</f>
        <v>Adithyan N</v>
      </c>
      <c r="D4" s="15" t="str">
        <f>=Dashboard!E28</f>
        <v>Medium</v>
      </c>
      <c r="E4" s="15" t="str">
        <f>=Dashboard!I28</f>
        <v>TASK-FE-005</v>
      </c>
      <c r="F4" s="15" t="str">
        <f>=Dashboard!F28</f>
        <v>In Progress</v>
      </c>
      <c r="G4" s="9" t="s">
        <v>266</v>
      </c>
      <c r="H4" s="15" t="s">
        <v>245</v>
      </c>
      <c r="I4" s="15" t="s">
        <v>245</v>
      </c>
      <c r="J4" s="9" t="str">
        <f>=Dashboard!L28</f>
        <v>Timeline progress bar rendering in progress</v>
      </c>
    </row>
    <row r="5" spans="1:10" x14ac:dyDescent="0.25">
      <c r="A5" s="13" t="str">
        <f>=Dashboard!A41</f>
        <v>TASK-BE-004</v>
      </c>
      <c r="B5" s="6" t="str">
        <f>=Dashboard!C41</f>
        <v>Complaint APIs</v>
      </c>
      <c r="C5" s="6" t="str">
        <f>=Dashboard!D41</f>
        <v>Muhammad Sanish</v>
      </c>
      <c r="D5" s="13" t="str">
        <f>=Dashboard!E41</f>
        <v>High</v>
      </c>
      <c r="E5" s="13" t="str">
        <f>=Dashboard!I41</f>
        <v>TASK-BE-003</v>
      </c>
      <c r="F5" s="13" t="str">
        <f>=Dashboard!F41</f>
        <v>Review</v>
      </c>
      <c r="G5" s="6" t="s">
        <v>267</v>
      </c>
      <c r="H5" s="13" t="s">
        <v>245</v>
      </c>
      <c r="I5" s="13" t="s">
        <v>245</v>
      </c>
      <c r="J5" s="6" t="str">
        <f>=Dashboard!L41</f>
        <v>Transaction logs active, code complete, undergoing review</v>
      </c>
    </row>
    <row r="6" spans="1:10" x14ac:dyDescent="0.25">
      <c r="A6" s="15" t="str">
        <f>=Dashboard!A42</f>
        <v>TASK-BE-005</v>
      </c>
      <c r="B6" s="9" t="str">
        <f>=Dashboard!C42</f>
        <v>File Tracking APIs</v>
      </c>
      <c r="C6" s="9" t="str">
        <f>=Dashboard!D42</f>
        <v>Muhammad Sanish</v>
      </c>
      <c r="D6" s="15" t="str">
        <f>=Dashboard!E42</f>
        <v>Medium</v>
      </c>
      <c r="E6" s="15" t="str">
        <f>=Dashboard!I42</f>
        <v>TASK-BE-003</v>
      </c>
      <c r="F6" s="15" t="str">
        <f>=Dashboard!F42</f>
        <v>Review</v>
      </c>
      <c r="G6" s="9" t="s">
        <v>268</v>
      </c>
      <c r="H6" s="15" t="s">
        <v>245</v>
      </c>
      <c r="I6" s="15" t="s">
        <v>245</v>
      </c>
      <c r="J6" s="9" t="str">
        <f>=Dashboard!L42</f>
        <v>Escaped tracking strings active, under API review</v>
      </c>
    </row>
    <row r="7" spans="1:10" x14ac:dyDescent="0.25">
      <c r="A7" s="13" t="str">
        <f>=Dashboard!A51</f>
        <v>TASK-DB-003</v>
      </c>
      <c r="B7" s="6" t="str">
        <f>=Dashboard!C51</f>
        <v>Relationships</v>
      </c>
      <c r="C7" s="6" t="str">
        <f>=Dashboard!D51</f>
        <v>Fathima Hana</v>
      </c>
      <c r="D7" s="13" t="str">
        <f>=Dashboard!E51</f>
        <v>High</v>
      </c>
      <c r="E7" s="13" t="str">
        <f>=Dashboard!I51</f>
        <v>TASK-DB-002</v>
      </c>
      <c r="F7" s="13" t="str">
        <f>=Dashboard!F51</f>
        <v>Completed</v>
      </c>
      <c r="G7" s="6" t="s">
        <v>269</v>
      </c>
      <c r="H7" s="13" t="s">
        <v>245</v>
      </c>
      <c r="I7" s="13" t="s">
        <v>245</v>
      </c>
      <c r="J7" s="6" t="str">
        <f>=Dashboard!L51</f>
        <v>Support: Adithyan N. Model referencing setup and verified</v>
      </c>
    </row>
    <row r="8" spans="1:10" x14ac:dyDescent="0.25">
      <c r="A8" s="15" t="str">
        <f>=Dashboard!A52</f>
        <v>TASK-DB-004</v>
      </c>
      <c r="B8" s="9" t="str">
        <f>=Dashboard!C52</f>
        <v>Indexing</v>
      </c>
      <c r="C8" s="9" t="str">
        <f>=Dashboard!D52</f>
        <v>Fathima Hana</v>
      </c>
      <c r="D8" s="15" t="str">
        <f>=Dashboard!E52</f>
        <v>Medium</v>
      </c>
      <c r="E8" s="15" t="str">
        <f>=Dashboard!I52</f>
        <v>TASK-DB-002</v>
      </c>
      <c r="F8" s="15" t="str">
        <f>=Dashboard!F52</f>
        <v>Completed</v>
      </c>
      <c r="G8" s="9" t="s">
        <v>270</v>
      </c>
      <c r="H8" s="15" t="s">
        <v>245</v>
      </c>
      <c r="I8" s="15" t="s">
        <v>245</v>
      </c>
      <c r="J8" s="9" t="str">
        <f>=Dashboard!L52</f>
        <v>Support: Adithyan N. Indexes configured, query execution fast</v>
      </c>
    </row>
  </sheetData>
  <autoFilter ref="A2:J8"/>
  <mergeCells count="1">
    <mergeCell ref="A1:J1"/>
  </mergeCells>
  <conditionalFormatting sqref="F3:F8">
    <cfRule type="cellIs" dxfId="36" priority="1" operator="equal">
      <formula>"Completed"</formula>
    </cfRule>
    <cfRule type="cellIs" dxfId="37" priority="2" operator="equal">
      <formula>"In Progress"</formula>
    </cfRule>
    <cfRule type="cellIs" dxfId="38" priority="3" operator="equal">
      <formula>"Review"</formula>
    </cfRule>
    <cfRule type="cellIs" dxfId="39" priority="4" operator="equal">
      <formula>"Blocked"</formula>
    </cfRule>
    <cfRule type="cellIs" dxfId="40" priority="5" operator="equal">
      <formula>"Not Started"</formula>
    </cfRule>
  </conditionalFormatting>
  <conditionalFormatting sqref="D3:D8">
    <cfRule type="cellIs" dxfId="41" priority="6" operator="equal">
      <formula>"Critical"</formula>
    </cfRule>
    <cfRule type="cellIs" dxfId="42" priority="7" operator="equal">
      <formula>"High"</formula>
    </cfRule>
    <cfRule type="cellIs" dxfId="43" priority="8" operator="equal">
      <formula>"Medium"</formula>
    </cfRule>
    <cfRule type="cellIs" dxfId="44" priority="9" operator="equal">
      <formula>"Low"</formula>
    </cfRule>
  </conditionalFormatting>
  <dataValidations count="2">
    <dataValidation type="list" allowBlank="1" sqref="D3:D8">
      <formula1>"Critical,High,Medium,Low"</formula1>
    </dataValidation>
    <dataValidation type="list" allowBlank="1" sqref="F3:F8">
      <formula1>"Not Started,In Progress,Review,Completed,Blocked"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0" width="40" customWidth="1"/>
  </cols>
  <sheetData>
    <row r="1" ht="24" customHeight="1" spans="1:10" x14ac:dyDescent="0.25">
      <c r="A1" s="36" t="s">
        <v>271</v>
      </c>
      <c r="B1" s="36"/>
      <c r="C1" s="36"/>
      <c r="D1" s="36"/>
      <c r="E1" s="36"/>
      <c r="F1" s="36"/>
      <c r="G1" s="36"/>
      <c r="H1" s="36"/>
      <c r="I1" s="36"/>
      <c r="J1" s="36"/>
    </row>
    <row r="2" ht="28" customHeight="1" spans="1:10" x14ac:dyDescent="0.25">
      <c r="A2" s="12" t="s">
        <v>39</v>
      </c>
      <c r="B2" s="12" t="s">
        <v>41</v>
      </c>
      <c r="C2" s="12" t="s">
        <v>42</v>
      </c>
      <c r="D2" s="12" t="s">
        <v>43</v>
      </c>
      <c r="E2" s="12" t="s">
        <v>47</v>
      </c>
      <c r="F2" s="12" t="s">
        <v>44</v>
      </c>
      <c r="G2" s="12" t="s">
        <v>241</v>
      </c>
      <c r="H2" s="12" t="s">
        <v>242</v>
      </c>
      <c r="I2" s="12" t="s">
        <v>243</v>
      </c>
      <c r="J2" s="12" t="s">
        <v>50</v>
      </c>
    </row>
    <row r="3" spans="1:10" x14ac:dyDescent="0.25">
      <c r="A3" s="13" t="str">
        <f>=Dashboard!A30</f>
        <v>TASK-FE-011</v>
      </c>
      <c r="B3" s="6" t="str">
        <f>=Dashboard!C30</f>
        <v>Staff Dashboard UI</v>
      </c>
      <c r="C3" s="6" t="str">
        <f>=Dashboard!D30</f>
        <v>Adithyan N</v>
      </c>
      <c r="D3" s="13" t="str">
        <f>=Dashboard!E30</f>
        <v>High</v>
      </c>
      <c r="E3" s="13" t="str">
        <f>=Dashboard!I30</f>
        <v>TASK-FE-004</v>
      </c>
      <c r="F3" s="13" t="str">
        <f>=Dashboard!F30</f>
        <v>Not Started</v>
      </c>
      <c r="G3" s="6" t="s">
        <v>272</v>
      </c>
      <c r="H3" s="13" t="s">
        <v>245</v>
      </c>
      <c r="I3" s="13" t="s">
        <v>245</v>
      </c>
      <c r="J3" s="6" t="str">
        <f>=Dashboard!L30</f>
        <v>Employee operations view blueprint set</v>
      </c>
    </row>
    <row r="4" spans="1:10" x14ac:dyDescent="0.25">
      <c r="A4" s="15" t="str">
        <f>=Dashboard!A31</f>
        <v>TASK-FE-012</v>
      </c>
      <c r="B4" s="9" t="str">
        <f>=Dashboard!C31</f>
        <v>Attendance UI</v>
      </c>
      <c r="C4" s="9" t="str">
        <f>=Dashboard!D31</f>
        <v>Adithyan N</v>
      </c>
      <c r="D4" s="15" t="str">
        <f>=Dashboard!E31</f>
        <v>High</v>
      </c>
      <c r="E4" s="15" t="str">
        <f>=Dashboard!I31</f>
        <v>TASK-FE-011</v>
      </c>
      <c r="F4" s="15" t="str">
        <f>=Dashboard!F31</f>
        <v>Not Started</v>
      </c>
      <c r="G4" s="9" t="s">
        <v>273</v>
      </c>
      <c r="H4" s="15" t="s">
        <v>245</v>
      </c>
      <c r="I4" s="15" t="s">
        <v>245</v>
      </c>
      <c r="J4" s="9" t="str">
        <f>=Dashboard!L31</f>
        <v>Liveness scan layout mock complete</v>
      </c>
    </row>
    <row r="5" spans="1:10" x14ac:dyDescent="0.25">
      <c r="A5" s="13" t="str">
        <f>=Dashboard!A43</f>
        <v>TASK-BE-006</v>
      </c>
      <c r="B5" s="6" t="str">
        <f>=Dashboard!C43</f>
        <v>Attendance APIs</v>
      </c>
      <c r="C5" s="6" t="str">
        <f>=Dashboard!D43</f>
        <v>Muhammad Sanish</v>
      </c>
      <c r="D5" s="13" t="str">
        <f>=Dashboard!E43</f>
        <v>High</v>
      </c>
      <c r="E5" s="13" t="str">
        <f>=Dashboard!I43</f>
        <v>TASK-BE-003</v>
      </c>
      <c r="F5" s="13" t="str">
        <f>=Dashboard!F43</f>
        <v>Not Started</v>
      </c>
      <c r="G5" s="6" t="s">
        <v>274</v>
      </c>
      <c r="H5" s="13" t="s">
        <v>245</v>
      </c>
      <c r="I5" s="13" t="s">
        <v>245</v>
      </c>
      <c r="J5" s="6" t="str">
        <f>=Dashboard!L43</f>
        <v>Secure verification punches adapter specifications ready</v>
      </c>
    </row>
    <row r="6" spans="1:10" x14ac:dyDescent="0.25">
      <c r="A6" s="15" t="str">
        <f>=Dashboard!A59</f>
        <v>TASK-AI-005</v>
      </c>
      <c r="B6" s="9" t="str">
        <f>=Dashboard!C59</f>
        <v>Face Recognition Core Implementation</v>
      </c>
      <c r="C6" s="9" t="str">
        <f>=Dashboard!D59</f>
        <v>Muhammed Sadik KT</v>
      </c>
      <c r="D6" s="15" t="str">
        <f>=Dashboard!E59</f>
        <v>Critical</v>
      </c>
      <c r="E6" s="15" t="str">
        <f>=Dashboard!I59</f>
        <v>None</v>
      </c>
      <c r="F6" s="15" t="str">
        <f>=Dashboard!F59</f>
        <v>Not Started</v>
      </c>
      <c r="G6" s="9" t="s">
        <v>275</v>
      </c>
      <c r="H6" s="15" t="s">
        <v>245</v>
      </c>
      <c r="I6" s="15" t="s">
        <v>245</v>
      </c>
      <c r="J6" s="9" t="str">
        <f>=Dashboard!L59</f>
        <v>Volatile RAM comparison model designed</v>
      </c>
    </row>
    <row r="7" spans="1:10" x14ac:dyDescent="0.25">
      <c r="A7" s="13" t="str">
        <f>=Dashboard!A60</f>
        <v>TASK-FR-001</v>
      </c>
      <c r="B7" s="6" t="str">
        <f>=Dashboard!C60</f>
        <v>Dataset Collection</v>
      </c>
      <c r="C7" s="6" t="str">
        <f>=Dashboard!D60</f>
        <v>Fadi Ahmed</v>
      </c>
      <c r="D7" s="13" t="str">
        <f>=Dashboard!E60</f>
        <v>Medium</v>
      </c>
      <c r="E7" s="13" t="str">
        <f>=Dashboard!I60</f>
        <v>None</v>
      </c>
      <c r="F7" s="13" t="str">
        <f>=Dashboard!F60</f>
        <v>Not Started</v>
      </c>
      <c r="G7" s="6" t="s">
        <v>276</v>
      </c>
      <c r="H7" s="13" t="s">
        <v>245</v>
      </c>
      <c r="I7" s="13" t="s">
        <v>245</v>
      </c>
      <c r="J7" s="6" t="str">
        <f>=Dashboard!L60</f>
        <v>Offline template protection standards set</v>
      </c>
    </row>
    <row r="8" spans="1:10" x14ac:dyDescent="0.25">
      <c r="A8" s="15" t="str">
        <f>=Dashboard!A61</f>
        <v>TASK-FR-002</v>
      </c>
      <c r="B8" s="9" t="str">
        <f>=Dashboard!C61</f>
        <v>Prototype Refinement</v>
      </c>
      <c r="C8" s="9" t="str">
        <f>=Dashboard!D61</f>
        <v>Fadi Ahmed</v>
      </c>
      <c r="D8" s="15" t="str">
        <f>=Dashboard!E61</f>
        <v>High</v>
      </c>
      <c r="E8" s="15" t="str">
        <f>=Dashboard!I61</f>
        <v>TASK-AI-005</v>
      </c>
      <c r="F8" s="15" t="str">
        <f>=Dashboard!F61</f>
        <v>Not Started</v>
      </c>
      <c r="G8" s="9" t="s">
        <v>277</v>
      </c>
      <c r="H8" s="15" t="s">
        <v>245</v>
      </c>
      <c r="I8" s="15" t="s">
        <v>245</v>
      </c>
      <c r="J8" s="9" t="str">
        <f>=Dashboard!L61</f>
        <v>Anti-spoofing test frameworks ready</v>
      </c>
    </row>
    <row r="9" spans="1:10" x14ac:dyDescent="0.25">
      <c r="A9" s="13" t="str">
        <f>=Dashboard!A62</f>
        <v>TASK-FR-003</v>
      </c>
      <c r="B9" s="6" t="str">
        <f>=Dashboard!C62</f>
        <v>Camera Integration Testing</v>
      </c>
      <c r="C9" s="6" t="str">
        <f>=Dashboard!D62</f>
        <v>Fadi Ahmed</v>
      </c>
      <c r="D9" s="13" t="str">
        <f>=Dashboard!E62</f>
        <v>Medium</v>
      </c>
      <c r="E9" s="13" t="str">
        <f>=Dashboard!I62</f>
        <v>None</v>
      </c>
      <c r="F9" s="13" t="str">
        <f>=Dashboard!F62</f>
        <v>Not Started</v>
      </c>
      <c r="G9" s="6" t="s">
        <v>278</v>
      </c>
      <c r="H9" s="13" t="s">
        <v>245</v>
      </c>
      <c r="I9" s="13" t="s">
        <v>245</v>
      </c>
      <c r="J9" s="6" t="str">
        <f>=Dashboard!L62</f>
        <v>Zero frame storage validation script written</v>
      </c>
    </row>
  </sheetData>
  <autoFilter ref="A2:J9"/>
  <mergeCells count="1">
    <mergeCell ref="A1:J1"/>
  </mergeCells>
  <conditionalFormatting sqref="F3:F9">
    <cfRule type="cellIs" dxfId="45" priority="1" operator="equal">
      <formula>"Completed"</formula>
    </cfRule>
    <cfRule type="cellIs" dxfId="46" priority="2" operator="equal">
      <formula>"In Progress"</formula>
    </cfRule>
    <cfRule type="cellIs" dxfId="47" priority="3" operator="equal">
      <formula>"Review"</formula>
    </cfRule>
    <cfRule type="cellIs" dxfId="48" priority="4" operator="equal">
      <formula>"Blocked"</formula>
    </cfRule>
    <cfRule type="cellIs" dxfId="49" priority="5" operator="equal">
      <formula>"Not Started"</formula>
    </cfRule>
  </conditionalFormatting>
  <conditionalFormatting sqref="D3:D9">
    <cfRule type="cellIs" dxfId="50" priority="6" operator="equal">
      <formula>"Critical"</formula>
    </cfRule>
    <cfRule type="cellIs" dxfId="51" priority="7" operator="equal">
      <formula>"High"</formula>
    </cfRule>
    <cfRule type="cellIs" dxfId="52" priority="8" operator="equal">
      <formula>"Medium"</formula>
    </cfRule>
    <cfRule type="cellIs" dxfId="53" priority="9" operator="equal">
      <formula>"Low"</formula>
    </cfRule>
  </conditionalFormatting>
  <dataValidations count="2">
    <dataValidation type="list" allowBlank="1" sqref="D3:D9">
      <formula1>"Critical,High,Medium,Low"</formula1>
    </dataValidation>
    <dataValidation type="list" allowBlank="1" sqref="F3:F9">
      <formula1>"Not Started,In Progress,Review,Completed,Blocked"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0" width="40" customWidth="1"/>
  </cols>
  <sheetData>
    <row r="1" ht="24" customHeight="1" spans="1:10" x14ac:dyDescent="0.25">
      <c r="A1" s="36" t="s">
        <v>279</v>
      </c>
      <c r="B1" s="36"/>
      <c r="C1" s="36"/>
      <c r="D1" s="36"/>
      <c r="E1" s="36"/>
      <c r="F1" s="36"/>
      <c r="G1" s="36"/>
      <c r="H1" s="36"/>
      <c r="I1" s="36"/>
      <c r="J1" s="36"/>
    </row>
    <row r="2" ht="28" customHeight="1" spans="1:10" x14ac:dyDescent="0.25">
      <c r="A2" s="12" t="s">
        <v>39</v>
      </c>
      <c r="B2" s="12" t="s">
        <v>41</v>
      </c>
      <c r="C2" s="12" t="s">
        <v>42</v>
      </c>
      <c r="D2" s="12" t="s">
        <v>43</v>
      </c>
      <c r="E2" s="12" t="s">
        <v>47</v>
      </c>
      <c r="F2" s="12" t="s">
        <v>44</v>
      </c>
      <c r="G2" s="12" t="s">
        <v>241</v>
      </c>
      <c r="H2" s="12" t="s">
        <v>242</v>
      </c>
      <c r="I2" s="12" t="s">
        <v>243</v>
      </c>
      <c r="J2" s="12" t="s">
        <v>50</v>
      </c>
    </row>
    <row r="3" spans="1:10" x14ac:dyDescent="0.25">
      <c r="A3" s="13" t="str">
        <f>=Dashboard!A29</f>
        <v>TASK-FE-010</v>
      </c>
      <c r="B3" s="6" t="str">
        <f>=Dashboard!C29</f>
        <v>Feedback UI</v>
      </c>
      <c r="C3" s="6" t="str">
        <f>=Dashboard!D29</f>
        <v>Adithyan N</v>
      </c>
      <c r="D3" s="13" t="str">
        <f>=Dashboard!E29</f>
        <v>Medium</v>
      </c>
      <c r="E3" s="13" t="str">
        <f>=Dashboard!I29</f>
        <v>TASK-FE-008</v>
      </c>
      <c r="F3" s="13" t="str">
        <f>=Dashboard!F29</f>
        <v>Not Started</v>
      </c>
      <c r="G3" s="6" t="s">
        <v>280</v>
      </c>
      <c r="H3" s="13" t="s">
        <v>245</v>
      </c>
      <c r="I3" s="13" t="s">
        <v>245</v>
      </c>
      <c r="J3" s="6" t="str">
        <f>=Dashboard!L29</f>
        <v>Satisfaction ratings form mockup completed</v>
      </c>
    </row>
    <row r="4" spans="1:10" x14ac:dyDescent="0.25">
      <c r="A4" s="15" t="str">
        <f>=Dashboard!A32</f>
        <v>TASK-FE-013</v>
      </c>
      <c r="B4" s="9" t="str">
        <f>=Dashboard!C32</f>
        <v>Chatbot UI</v>
      </c>
      <c r="C4" s="9" t="str">
        <f>=Dashboard!D32</f>
        <v>Adithyan N</v>
      </c>
      <c r="D4" s="15" t="str">
        <f>=Dashboard!E32</f>
        <v>Medium</v>
      </c>
      <c r="E4" s="15" t="str">
        <f>=Dashboard!I32</f>
        <v>TASK-FE-005</v>
      </c>
      <c r="F4" s="15" t="str">
        <f>=Dashboard!F32</f>
        <v>Not Started</v>
      </c>
      <c r="G4" s="9" t="s">
        <v>281</v>
      </c>
      <c r="H4" s="15" t="s">
        <v>245</v>
      </c>
      <c r="I4" s="15" t="s">
        <v>245</v>
      </c>
      <c r="J4" s="9" t="str">
        <f>=Dashboard!L32</f>
        <v>Gemini chat console overlay designed</v>
      </c>
    </row>
    <row r="5" spans="1:10" x14ac:dyDescent="0.25">
      <c r="A5" s="13" t="str">
        <f>=Dashboard!A33</f>
        <v>TASK-FE-014</v>
      </c>
      <c r="B5" s="6" t="str">
        <f>=Dashboard!C33</f>
        <v>Admin Dashboard</v>
      </c>
      <c r="C5" s="6" t="str">
        <f>=Dashboard!D33</f>
        <v>Adithyan N</v>
      </c>
      <c r="D5" s="13" t="str">
        <f>=Dashboard!E33</f>
        <v>High</v>
      </c>
      <c r="E5" s="13" t="str">
        <f>=Dashboard!I33</f>
        <v>TASK-FE-004</v>
      </c>
      <c r="F5" s="13" t="str">
        <f>=Dashboard!F33</f>
        <v>Not Started</v>
      </c>
      <c r="G5" s="6" t="s">
        <v>282</v>
      </c>
      <c r="H5" s="13" t="s">
        <v>245</v>
      </c>
      <c r="I5" s="13" t="s">
        <v>245</v>
      </c>
      <c r="J5" s="6" t="str">
        <f>=Dashboard!L33</f>
        <v>Audit logs reviewer views prepared</v>
      </c>
    </row>
    <row r="6" spans="1:10" x14ac:dyDescent="0.25">
      <c r="A6" s="15" t="str">
        <f>=Dashboard!A44</f>
        <v>TASK-BE-007</v>
      </c>
      <c r="B6" s="9" t="str">
        <f>=Dashboard!C44</f>
        <v>Feedback APIs</v>
      </c>
      <c r="C6" s="9" t="str">
        <f>=Dashboard!D44</f>
        <v>Muhammad Sanish</v>
      </c>
      <c r="D6" s="15" t="str">
        <f>=Dashboard!E44</f>
        <v>Medium</v>
      </c>
      <c r="E6" s="15" t="str">
        <f>=Dashboard!I44</f>
        <v>TASK-BE-004</v>
      </c>
      <c r="F6" s="15" t="str">
        <f>=Dashboard!F44</f>
        <v>Not Started</v>
      </c>
      <c r="G6" s="9" t="s">
        <v>283</v>
      </c>
      <c r="H6" s="15" t="s">
        <v>245</v>
      </c>
      <c r="I6" s="15" t="s">
        <v>245</v>
      </c>
      <c r="J6" s="9" t="str">
        <f>=Dashboard!L44</f>
        <v>Complaints lock logic active draft</v>
      </c>
    </row>
    <row r="7" spans="1:10" x14ac:dyDescent="0.25">
      <c r="A7" s="13" t="str">
        <f>=Dashboard!A45</f>
        <v>TASK-BE-008</v>
      </c>
      <c r="B7" s="6" t="str">
        <f>=Dashboard!C45</f>
        <v>Admin APIs</v>
      </c>
      <c r="C7" s="6" t="str">
        <f>=Dashboard!D45</f>
        <v>Muhammad Sanish</v>
      </c>
      <c r="D7" s="13" t="str">
        <f>=Dashboard!E45</f>
        <v>High</v>
      </c>
      <c r="E7" s="13" t="str">
        <f>=Dashboard!I45</f>
        <v>TASK-BE-003</v>
      </c>
      <c r="F7" s="13" t="str">
        <f>=Dashboard!F45</f>
        <v>Not Started</v>
      </c>
      <c r="G7" s="6" t="s">
        <v>284</v>
      </c>
      <c r="H7" s="13" t="s">
        <v>245</v>
      </c>
      <c r="I7" s="13" t="s">
        <v>245</v>
      </c>
      <c r="J7" s="6" t="str">
        <f>=Dashboard!L45</f>
        <v>Admin RBAC validation middlewares declared</v>
      </c>
    </row>
    <row r="8" spans="1:10" x14ac:dyDescent="0.25">
      <c r="A8" s="15" t="str">
        <f>=Dashboard!A55</f>
        <v>TASK-AI-001</v>
      </c>
      <c r="B8" s="9" t="str">
        <f>=Dashboard!C55</f>
        <v>Gemini Chatbot</v>
      </c>
      <c r="C8" s="9" t="str">
        <f>=Dashboard!D55</f>
        <v>Muhammed Sadik KT</v>
      </c>
      <c r="D8" s="15" t="str">
        <f>=Dashboard!E55</f>
        <v>High</v>
      </c>
      <c r="E8" s="15" t="str">
        <f>=Dashboard!I55</f>
        <v>None</v>
      </c>
      <c r="F8" s="15" t="str">
        <f>=Dashboard!F55</f>
        <v>Not Started</v>
      </c>
      <c r="G8" s="9" t="s">
        <v>285</v>
      </c>
      <c r="H8" s="15" t="s">
        <v>245</v>
      </c>
      <c r="I8" s="15" t="s">
        <v>245</v>
      </c>
      <c r="J8" s="9" t="str">
        <f>=Dashboard!L55</f>
        <v>RAG context bounds applied</v>
      </c>
    </row>
    <row r="9" spans="1:10" x14ac:dyDescent="0.25">
      <c r="A9" s="13" t="str">
        <f>=Dashboard!A56</f>
        <v>TASK-AI-002</v>
      </c>
      <c r="B9" s="6" t="str">
        <f>=Dashboard!C56</f>
        <v>OCR</v>
      </c>
      <c r="C9" s="6" t="str">
        <f>=Dashboard!D56</f>
        <v>Muhammed Sadik KT</v>
      </c>
      <c r="D9" s="13" t="str">
        <f>=Dashboard!E56</f>
        <v>Medium</v>
      </c>
      <c r="E9" s="13" t="str">
        <f>=Dashboard!I56</f>
        <v>None</v>
      </c>
      <c r="F9" s="13" t="str">
        <f>=Dashboard!F56</f>
        <v>Not Started</v>
      </c>
      <c r="G9" s="6" t="s">
        <v>286</v>
      </c>
      <c r="H9" s="13" t="s">
        <v>245</v>
      </c>
      <c r="I9" s="13" t="s">
        <v>245</v>
      </c>
      <c r="J9" s="6" t="str">
        <f>=Dashboard!L56</f>
        <v>Secure local storage sandbox specs</v>
      </c>
    </row>
    <row r="10" spans="1:10" x14ac:dyDescent="0.25">
      <c r="A10" s="15" t="str">
        <f>=Dashboard!A57</f>
        <v>TASK-AI-003</v>
      </c>
      <c r="B10" s="9" t="str">
        <f>=Dashboard!C57</f>
        <v>AI APIs</v>
      </c>
      <c r="C10" s="9" t="str">
        <f>=Dashboard!D57</f>
        <v>Muhammed Sadik KT</v>
      </c>
      <c r="D10" s="15" t="str">
        <f>=Dashboard!E57</f>
        <v>High</v>
      </c>
      <c r="E10" s="15" t="str">
        <f>=Dashboard!I57</f>
        <v>None</v>
      </c>
      <c r="F10" s="15" t="str">
        <f>=Dashboard!F57</f>
        <v>Not Started</v>
      </c>
      <c r="G10" s="9" t="s">
        <v>287</v>
      </c>
      <c r="H10" s="15" t="s">
        <v>245</v>
      </c>
      <c r="I10" s="15" t="s">
        <v>245</v>
      </c>
      <c r="J10" s="9" t="str">
        <f>=Dashboard!L57</f>
        <v>Secure credentials configuration detailed</v>
      </c>
    </row>
    <row r="11" spans="1:10" x14ac:dyDescent="0.25">
      <c r="A11" s="13" t="str">
        <f>=Dashboard!A58</f>
        <v>TASK-AI-004</v>
      </c>
      <c r="B11" s="6" t="str">
        <f>=Dashboard!C58</f>
        <v>Prompt Engineering</v>
      </c>
      <c r="C11" s="6" t="str">
        <f>=Dashboard!D58</f>
        <v>Muhammed Sadik KT</v>
      </c>
      <c r="D11" s="13" t="str">
        <f>=Dashboard!E58</f>
        <v>Medium</v>
      </c>
      <c r="E11" s="13" t="str">
        <f>=Dashboard!I58</f>
        <v>TASK-AI-001</v>
      </c>
      <c r="F11" s="13" t="str">
        <f>=Dashboard!F58</f>
        <v>Not Started</v>
      </c>
      <c r="G11" s="6" t="s">
        <v>288</v>
      </c>
      <c r="H11" s="13" t="s">
        <v>245</v>
      </c>
      <c r="I11" s="13" t="s">
        <v>245</v>
      </c>
      <c r="J11" s="6" t="str">
        <f>=Dashboard!L58</f>
        <v>Prompt injection guards drafted</v>
      </c>
    </row>
    <row r="12" spans="1:10" x14ac:dyDescent="0.25">
      <c r="A12" s="15" t="str">
        <f>=Dashboard!A63</f>
        <v>TASK-FR-004</v>
      </c>
      <c r="B12" s="9" t="str">
        <f>=Dashboard!C63</f>
        <v>Attendance Workflow Testing</v>
      </c>
      <c r="C12" s="9" t="str">
        <f>=Dashboard!D63</f>
        <v>Fadi Ahmed</v>
      </c>
      <c r="D12" s="15" t="str">
        <f>=Dashboard!E63</f>
        <v>High</v>
      </c>
      <c r="E12" s="15" t="str">
        <f>=Dashboard!I63</f>
        <v>TASK-FR-003</v>
      </c>
      <c r="F12" s="15" t="str">
        <f>=Dashboard!F63</f>
        <v>Not Started</v>
      </c>
      <c r="G12" s="9" t="s">
        <v>289</v>
      </c>
      <c r="H12" s="15" t="s">
        <v>245</v>
      </c>
      <c r="I12" s="15" t="s">
        <v>245</v>
      </c>
      <c r="J12" s="9" t="str">
        <f>=Dashboard!L63</f>
        <v>Consent constraints gating check template</v>
      </c>
    </row>
    <row r="13" spans="1:10" x14ac:dyDescent="0.25">
      <c r="A13" s="13" t="str">
        <f>=Dashboard!A64</f>
        <v>TASK-FR-005</v>
      </c>
      <c r="B13" s="6" t="str">
        <f>=Dashboard!C64</f>
        <v>Recognition Accuracy Testing</v>
      </c>
      <c r="C13" s="6" t="str">
        <f>=Dashboard!D64</f>
        <v>Fadi Ahmed</v>
      </c>
      <c r="D13" s="13" t="str">
        <f>=Dashboard!E64</f>
        <v>High</v>
      </c>
      <c r="E13" s="13" t="str">
        <f>=Dashboard!I64</f>
        <v>TASK-FR-002</v>
      </c>
      <c r="F13" s="13" t="str">
        <f>=Dashboard!F64</f>
        <v>Not Started</v>
      </c>
      <c r="G13" s="6" t="s">
        <v>290</v>
      </c>
      <c r="H13" s="13" t="s">
        <v>245</v>
      </c>
      <c r="I13" s="13" t="s">
        <v>245</v>
      </c>
      <c r="J13" s="6" t="str">
        <f>=Dashboard!L64</f>
        <v>Robustness audit report format ready</v>
      </c>
    </row>
  </sheetData>
  <autoFilter ref="A2:J13"/>
  <mergeCells count="1">
    <mergeCell ref="A1:J1"/>
  </mergeCells>
  <conditionalFormatting sqref="F3:F13">
    <cfRule type="cellIs" dxfId="54" priority="1" operator="equal">
      <formula>"Completed"</formula>
    </cfRule>
    <cfRule type="cellIs" dxfId="55" priority="2" operator="equal">
      <formula>"In Progress"</formula>
    </cfRule>
    <cfRule type="cellIs" dxfId="56" priority="3" operator="equal">
      <formula>"Review"</formula>
    </cfRule>
    <cfRule type="cellIs" dxfId="57" priority="4" operator="equal">
      <formula>"Blocked"</formula>
    </cfRule>
    <cfRule type="cellIs" dxfId="58" priority="5" operator="equal">
      <formula>"Not Started"</formula>
    </cfRule>
  </conditionalFormatting>
  <conditionalFormatting sqref="D3:D13">
    <cfRule type="cellIs" dxfId="59" priority="6" operator="equal">
      <formula>"Critical"</formula>
    </cfRule>
    <cfRule type="cellIs" dxfId="60" priority="7" operator="equal">
      <formula>"High"</formula>
    </cfRule>
    <cfRule type="cellIs" dxfId="61" priority="8" operator="equal">
      <formula>"Medium"</formula>
    </cfRule>
    <cfRule type="cellIs" dxfId="62" priority="9" operator="equal">
      <formula>"Low"</formula>
    </cfRule>
  </conditionalFormatting>
  <dataValidations count="4">
    <dataValidation type="list" allowBlank="1" sqref="D10:D13">
      <formula1>"Critical,High,Medium,Low"</formula1>
    </dataValidation>
    <dataValidation type="list" allowBlank="1" sqref="D3:D13">
      <formula1>"Critical,High,Medium,Low"</formula1>
    </dataValidation>
    <dataValidation type="list" allowBlank="1" sqref="F10:F13">
      <formula1>"Not Started,In Progress,Review,Completed,Blocked"</formula1>
    </dataValidation>
    <dataValidation type="list" allowBlank="1" sqref="F3:F13">
      <formula1>"Not Started,In Progress,Review,Completed,Blocked"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0" width="40" customWidth="1"/>
  </cols>
  <sheetData>
    <row r="1" ht="24" customHeight="1" spans="1:10" x14ac:dyDescent="0.25">
      <c r="A1" s="36" t="s">
        <v>291</v>
      </c>
      <c r="B1" s="36"/>
      <c r="C1" s="36"/>
      <c r="D1" s="36"/>
      <c r="E1" s="36"/>
      <c r="F1" s="36"/>
      <c r="G1" s="36"/>
      <c r="H1" s="36"/>
      <c r="I1" s="36"/>
      <c r="J1" s="36"/>
    </row>
    <row r="2" ht="28" customHeight="1" spans="1:10" x14ac:dyDescent="0.25">
      <c r="A2" s="12" t="s">
        <v>39</v>
      </c>
      <c r="B2" s="12" t="s">
        <v>41</v>
      </c>
      <c r="C2" s="12" t="s">
        <v>42</v>
      </c>
      <c r="D2" s="12" t="s">
        <v>43</v>
      </c>
      <c r="E2" s="12" t="s">
        <v>47</v>
      </c>
      <c r="F2" s="12" t="s">
        <v>44</v>
      </c>
      <c r="G2" s="12" t="s">
        <v>241</v>
      </c>
      <c r="H2" s="12" t="s">
        <v>242</v>
      </c>
      <c r="I2" s="12" t="s">
        <v>243</v>
      </c>
      <c r="J2" s="12" t="s">
        <v>50</v>
      </c>
    </row>
    <row r="3" spans="1:10" x14ac:dyDescent="0.25">
      <c r="A3" s="13" t="str">
        <f>=Dashboard!A34</f>
        <v>TASK-FE-015</v>
      </c>
      <c r="B3" s="6" t="str">
        <f>=Dashboard!C34</f>
        <v>Notifications UI</v>
      </c>
      <c r="C3" s="6" t="str">
        <f>=Dashboard!D34</f>
        <v>Adithyan N</v>
      </c>
      <c r="D3" s="13" t="str">
        <f>=Dashboard!E34</f>
        <v>Medium</v>
      </c>
      <c r="E3" s="13" t="str">
        <f>=Dashboard!I34</f>
        <v>TASK-FE-005</v>
      </c>
      <c r="F3" s="13" t="str">
        <f>=Dashboard!F34</f>
        <v>Not Started</v>
      </c>
      <c r="G3" s="6" t="s">
        <v>292</v>
      </c>
      <c r="H3" s="13" t="s">
        <v>245</v>
      </c>
      <c r="I3" s="13" t="s">
        <v>245</v>
      </c>
      <c r="J3" s="6" t="str">
        <f>=Dashboard!L34</f>
        <v>Dynamic web toasts configuration ready</v>
      </c>
    </row>
    <row r="4" spans="1:10" x14ac:dyDescent="0.25">
      <c r="A4" s="15" t="str">
        <f>=Dashboard!A35</f>
        <v>TASK-FE-016</v>
      </c>
      <c r="B4" s="9" t="str">
        <f>=Dashboard!C35</f>
        <v>Responsive Fixes</v>
      </c>
      <c r="C4" s="9" t="str">
        <f>=Dashboard!D35</f>
        <v>Adithyan N</v>
      </c>
      <c r="D4" s="15" t="str">
        <f>=Dashboard!E35</f>
        <v>Medium</v>
      </c>
      <c r="E4" s="15" t="str">
        <f>=Dashboard!I35</f>
        <v>TASK-FE-014</v>
      </c>
      <c r="F4" s="15" t="str">
        <f>=Dashboard!F35</f>
        <v>Not Started</v>
      </c>
      <c r="G4" s="9" t="s">
        <v>293</v>
      </c>
      <c r="H4" s="15" t="s">
        <v>245</v>
      </c>
      <c r="I4" s="15" t="s">
        <v>245</v>
      </c>
      <c r="J4" s="9" t="str">
        <f>=Dashboard!L35</f>
        <v>Mobile views checking strategy defined</v>
      </c>
    </row>
    <row r="5" spans="1:10" x14ac:dyDescent="0.25">
      <c r="A5" s="13" t="str">
        <f>=Dashboard!A36</f>
        <v>TASK-FE-017</v>
      </c>
      <c r="B5" s="6" t="str">
        <f>=Dashboard!C36</f>
        <v>Integration</v>
      </c>
      <c r="C5" s="6" t="str">
        <f>=Dashboard!D36</f>
        <v>Adithyan N</v>
      </c>
      <c r="D5" s="13" t="str">
        <f>=Dashboard!E36</f>
        <v>High</v>
      </c>
      <c r="E5" s="13" t="str">
        <f>=Dashboard!I36</f>
        <v>TASK-FE-015</v>
      </c>
      <c r="F5" s="13" t="str">
        <f>=Dashboard!F36</f>
        <v>Not Started</v>
      </c>
      <c r="G5" s="6" t="s">
        <v>294</v>
      </c>
      <c r="H5" s="13" t="s">
        <v>245</v>
      </c>
      <c r="I5" s="13" t="s">
        <v>245</v>
      </c>
      <c r="J5" s="6" t="str">
        <f>=Dashboard!L36</f>
        <v>All endpoints integration mapping checklist</v>
      </c>
    </row>
    <row r="6" spans="1:10" x14ac:dyDescent="0.25">
      <c r="A6" s="15" t="str">
        <f>=Dashboard!A46</f>
        <v>TASK-BE-009</v>
      </c>
      <c r="B6" s="9" t="str">
        <f>=Dashboard!C46</f>
        <v>Audit Logging</v>
      </c>
      <c r="C6" s="9" t="str">
        <f>=Dashboard!D46</f>
        <v>Muhammad Sanish</v>
      </c>
      <c r="D6" s="15" t="str">
        <f>=Dashboard!E46</f>
        <v>High</v>
      </c>
      <c r="E6" s="15" t="str">
        <f>=Dashboard!I46</f>
        <v>TASK-BE-001</v>
      </c>
      <c r="F6" s="15" t="str">
        <f>=Dashboard!F46</f>
        <v>Not Started</v>
      </c>
      <c r="G6" s="9" t="s">
        <v>295</v>
      </c>
      <c r="H6" s="15" t="s">
        <v>245</v>
      </c>
      <c r="I6" s="15" t="s">
        <v>245</v>
      </c>
      <c r="J6" s="9" t="str">
        <f>=Dashboard!L46</f>
        <v>Log write validations schema prepared</v>
      </c>
    </row>
    <row r="7" spans="1:10" x14ac:dyDescent="0.25">
      <c r="A7" s="13" t="str">
        <f>=Dashboard!A47</f>
        <v>TASK-BE-010</v>
      </c>
      <c r="B7" s="6" t="str">
        <f>=Dashboard!C47</f>
        <v>Middleware</v>
      </c>
      <c r="C7" s="6" t="str">
        <f>=Dashboard!D47</f>
        <v>Muhammad Sanish</v>
      </c>
      <c r="D7" s="13" t="str">
        <f>=Dashboard!E47</f>
        <v>High</v>
      </c>
      <c r="E7" s="13" t="str">
        <f>=Dashboard!I47</f>
        <v>TASK-BE-001</v>
      </c>
      <c r="F7" s="13" t="str">
        <f>=Dashboard!F47</f>
        <v>Not Started</v>
      </c>
      <c r="G7" s="6" t="s">
        <v>296</v>
      </c>
      <c r="H7" s="13" t="s">
        <v>245</v>
      </c>
      <c r="I7" s="13" t="s">
        <v>245</v>
      </c>
      <c r="J7" s="6" t="str">
        <f>=Dashboard!L47</f>
        <v>Standard middlewares pipeline mapped</v>
      </c>
    </row>
    <row r="8" spans="1:10" x14ac:dyDescent="0.25">
      <c r="A8" s="15" t="str">
        <f>=Dashboard!A48</f>
        <v>TASK-BE-011</v>
      </c>
      <c r="B8" s="9" t="str">
        <f>=Dashboard!C48</f>
        <v>Security Middleware</v>
      </c>
      <c r="C8" s="9" t="str">
        <f>=Dashboard!D48</f>
        <v>Muhammad Sanish</v>
      </c>
      <c r="D8" s="15" t="str">
        <f>=Dashboard!E48</f>
        <v>Critical</v>
      </c>
      <c r="E8" s="15" t="str">
        <f>=Dashboard!I48</f>
        <v>TASK-BE-001</v>
      </c>
      <c r="F8" s="15" t="str">
        <f>=Dashboard!F48</f>
        <v>Not Started</v>
      </c>
      <c r="G8" s="9" t="s">
        <v>297</v>
      </c>
      <c r="H8" s="15" t="s">
        <v>245</v>
      </c>
      <c r="I8" s="15" t="s">
        <v>245</v>
      </c>
      <c r="J8" s="9" t="str">
        <f>=Dashboard!L48</f>
        <v>SameSite token configurations specified</v>
      </c>
    </row>
    <row r="9" spans="1:10" x14ac:dyDescent="0.25">
      <c r="A9" s="13" t="str">
        <f>=Dashboard!A53</f>
        <v>TASK-DB-005</v>
      </c>
      <c r="B9" s="6" t="str">
        <f>=Dashboard!C53</f>
        <v>Validation</v>
      </c>
      <c r="C9" s="6" t="str">
        <f>=Dashboard!D53</f>
        <v>Fathima Hana</v>
      </c>
      <c r="D9" s="13" t="str">
        <f>=Dashboard!E53</f>
        <v>High</v>
      </c>
      <c r="E9" s="13" t="str">
        <f>=Dashboard!I53</f>
        <v>TASK-DB-002</v>
      </c>
      <c r="F9" s="13" t="str">
        <f>=Dashboard!F53</f>
        <v>Not Started</v>
      </c>
      <c r="G9" s="6" t="s">
        <v>298</v>
      </c>
      <c r="H9" s="13" t="s">
        <v>245</v>
      </c>
      <c r="I9" s="13" t="s">
        <v>245</v>
      </c>
      <c r="J9" s="6" t="str">
        <f>=Dashboard!L53</f>
        <v>Support: Adithyan N. Format checks drafted</v>
      </c>
    </row>
    <row r="10" spans="1:10" x14ac:dyDescent="0.25">
      <c r="A10" s="15" t="str">
        <f>=Dashboard!A54</f>
        <v>TASK-DB-006</v>
      </c>
      <c r="B10" s="9" t="str">
        <f>=Dashboard!C54</f>
        <v>Query Optimization</v>
      </c>
      <c r="C10" s="9" t="str">
        <f>=Dashboard!D54</f>
        <v>Fathima Hana</v>
      </c>
      <c r="D10" s="15" t="str">
        <f>=Dashboard!E54</f>
        <v>Medium</v>
      </c>
      <c r="E10" s="15" t="str">
        <f>=Dashboard!I54</f>
        <v>TASK-DB-004</v>
      </c>
      <c r="F10" s="15" t="str">
        <f>=Dashboard!F54</f>
        <v>Not Started</v>
      </c>
      <c r="G10" s="9" t="s">
        <v>299</v>
      </c>
      <c r="H10" s="15" t="s">
        <v>245</v>
      </c>
      <c r="I10" s="15" t="s">
        <v>245</v>
      </c>
      <c r="J10" s="9" t="str">
        <f>=Dashboard!L54</f>
        <v>Support: Adithyan N. Query optimization strategy defined</v>
      </c>
    </row>
    <row r="11" spans="1:10" x14ac:dyDescent="0.25">
      <c r="A11" s="13" t="str">
        <f>=Dashboard!A65</f>
        <v>TASK-FR-006</v>
      </c>
      <c r="B11" s="6" t="str">
        <f>=Dashboard!C65</f>
        <v>Cross-Browser Camera Testing</v>
      </c>
      <c r="C11" s="6" t="str">
        <f>=Dashboard!D65</f>
        <v>Fadi Ahmed</v>
      </c>
      <c r="D11" s="13" t="str">
        <f>=Dashboard!E65</f>
        <v>Medium</v>
      </c>
      <c r="E11" s="13" t="str">
        <f>=Dashboard!I65</f>
        <v>TASK-FR-003</v>
      </c>
      <c r="F11" s="13" t="str">
        <f>=Dashboard!F65</f>
        <v>Not Started</v>
      </c>
      <c r="G11" s="6" t="s">
        <v>300</v>
      </c>
      <c r="H11" s="13" t="s">
        <v>245</v>
      </c>
      <c r="I11" s="13" t="s">
        <v>245</v>
      </c>
      <c r="J11" s="6" t="str">
        <f>=Dashboard!L65</f>
        <v>Web permissions tests blueprint</v>
      </c>
    </row>
    <row r="12" spans="1:10" x14ac:dyDescent="0.25">
      <c r="A12" s="15" t="str">
        <f>=Dashboard!A66</f>
        <v>TASK-FR-007</v>
      </c>
      <c r="B12" s="9" t="str">
        <f>=Dashboard!C66</f>
        <v>System Integration Testing</v>
      </c>
      <c r="C12" s="9" t="str">
        <f>=Dashboard!D66</f>
        <v>Fadi Ahmed</v>
      </c>
      <c r="D12" s="15" t="str">
        <f>=Dashboard!E66</f>
        <v>High</v>
      </c>
      <c r="E12" s="15" t="str">
        <f>=Dashboard!I66</f>
        <v>TASK-FR-004</v>
      </c>
      <c r="F12" s="15" t="str">
        <f>=Dashboard!F66</f>
        <v>Not Started</v>
      </c>
      <c r="G12" s="9" t="s">
        <v>301</v>
      </c>
      <c r="H12" s="15" t="s">
        <v>245</v>
      </c>
      <c r="I12" s="15" t="s">
        <v>245</v>
      </c>
      <c r="J12" s="9" t="str">
        <f>=Dashboard!L66</f>
        <v>RBAC boundary check verified</v>
      </c>
    </row>
    <row r="13" spans="1:10" x14ac:dyDescent="0.25">
      <c r="A13" s="13" t="str">
        <f>=Dashboard!A69</f>
        <v>TASK-QA-003</v>
      </c>
      <c r="B13" s="6" t="str">
        <f>=Dashboard!C69</f>
        <v>QA Reports</v>
      </c>
      <c r="C13" s="6" t="str">
        <f>=Dashboard!D69</f>
        <v>Minha Palakkathodi</v>
      </c>
      <c r="D13" s="13" t="str">
        <f>=Dashboard!E69</f>
        <v>Medium</v>
      </c>
      <c r="E13" s="13" t="str">
        <f>=Dashboard!I69</f>
        <v>None</v>
      </c>
      <c r="F13" s="13" t="str">
        <f>=Dashboard!F69</f>
        <v>Not Started</v>
      </c>
      <c r="G13" s="6" t="s">
        <v>302</v>
      </c>
      <c r="H13" s="13" t="s">
        <v>245</v>
      </c>
      <c r="I13" s="13" t="s">
        <v>245</v>
      </c>
      <c r="J13" s="6" t="str">
        <f>=Dashboard!L69</f>
        <v>Sprint review reports templates prepared</v>
      </c>
    </row>
  </sheetData>
  <autoFilter ref="A2:J13"/>
  <mergeCells count="1">
    <mergeCell ref="A1:J1"/>
  </mergeCells>
  <conditionalFormatting sqref="F3:F13">
    <cfRule type="cellIs" dxfId="63" priority="1" operator="equal">
      <formula>"Completed"</formula>
    </cfRule>
    <cfRule type="cellIs" dxfId="64" priority="2" operator="equal">
      <formula>"In Progress"</formula>
    </cfRule>
    <cfRule type="cellIs" dxfId="65" priority="3" operator="equal">
      <formula>"Review"</formula>
    </cfRule>
    <cfRule type="cellIs" dxfId="66" priority="4" operator="equal">
      <formula>"Blocked"</formula>
    </cfRule>
    <cfRule type="cellIs" dxfId="67" priority="5" operator="equal">
      <formula>"Not Started"</formula>
    </cfRule>
  </conditionalFormatting>
  <conditionalFormatting sqref="D3:D13">
    <cfRule type="cellIs" dxfId="68" priority="6" operator="equal">
      <formula>"Critical"</formula>
    </cfRule>
    <cfRule type="cellIs" dxfId="69" priority="7" operator="equal">
      <formula>"High"</formula>
    </cfRule>
    <cfRule type="cellIs" dxfId="70" priority="8" operator="equal">
      <formula>"Medium"</formula>
    </cfRule>
    <cfRule type="cellIs" dxfId="71" priority="9" operator="equal">
      <formula>"Low"</formula>
    </cfRule>
  </conditionalFormatting>
  <dataValidations count="4">
    <dataValidation type="list" allowBlank="1" sqref="D10:D13">
      <formula1>"Critical,High,Medium,Low"</formula1>
    </dataValidation>
    <dataValidation type="list" allowBlank="1" sqref="D3:D13">
      <formula1>"Critical,High,Medium,Low"</formula1>
    </dataValidation>
    <dataValidation type="list" allowBlank="1" sqref="F10:F13">
      <formula1>"Not Started,In Progress,Review,Completed,Blocked"</formula1>
    </dataValidation>
    <dataValidation type="list" allowBlank="1" sqref="F3:F13">
      <formula1>"Not Started,In Progress,Review,Completed,Blocked"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0" width="40" customWidth="1"/>
  </cols>
  <sheetData>
    <row r="1" ht="24" customHeight="1" spans="1:10" x14ac:dyDescent="0.25">
      <c r="A1" s="36" t="s">
        <v>303</v>
      </c>
      <c r="B1" s="36"/>
      <c r="C1" s="36"/>
      <c r="D1" s="36"/>
      <c r="E1" s="36"/>
      <c r="F1" s="36"/>
      <c r="G1" s="36"/>
      <c r="H1" s="36"/>
      <c r="I1" s="36"/>
      <c r="J1" s="36"/>
    </row>
    <row r="2" ht="28" customHeight="1" spans="1:10" x14ac:dyDescent="0.25">
      <c r="A2" s="12" t="s">
        <v>39</v>
      </c>
      <c r="B2" s="12" t="s">
        <v>41</v>
      </c>
      <c r="C2" s="12" t="s">
        <v>42</v>
      </c>
      <c r="D2" s="12" t="s">
        <v>43</v>
      </c>
      <c r="E2" s="12" t="s">
        <v>47</v>
      </c>
      <c r="F2" s="12" t="s">
        <v>44</v>
      </c>
      <c r="G2" s="12" t="s">
        <v>241</v>
      </c>
      <c r="H2" s="12" t="s">
        <v>242</v>
      </c>
      <c r="I2" s="12" t="s">
        <v>243</v>
      </c>
      <c r="J2" s="12" t="s">
        <v>50</v>
      </c>
    </row>
    <row r="3" spans="1:10" x14ac:dyDescent="0.25">
      <c r="A3" s="13" t="str">
        <f>=Dashboard!A19</f>
        <v>TASK-INF-004</v>
      </c>
      <c r="B3" s="6" t="str">
        <f>=Dashboard!C19</f>
        <v>Deployment Environment Preparation</v>
      </c>
      <c r="C3" s="6" t="str">
        <f>=Dashboard!D19</f>
        <v>Adithyan N</v>
      </c>
      <c r="D3" s="13" t="str">
        <f>=Dashboard!E19</f>
        <v>Medium</v>
      </c>
      <c r="E3" s="13" t="str">
        <f>=Dashboard!I19</f>
        <v>None</v>
      </c>
      <c r="F3" s="13" t="str">
        <f>=Dashboard!F19</f>
        <v>Not Started</v>
      </c>
      <c r="G3" s="6" t="s">
        <v>304</v>
      </c>
      <c r="H3" s="13" t="s">
        <v>245</v>
      </c>
      <c r="I3" s="13" t="s">
        <v>245</v>
      </c>
      <c r="J3" s="6" t="str">
        <f>=Dashboard!L19</f>
        <v>Deployment scripts drafted, hosting environments initialized</v>
      </c>
    </row>
    <row r="4" spans="1:10" x14ac:dyDescent="0.25">
      <c r="A4" s="15" t="str">
        <f>=Dashboard!A37</f>
        <v>TASK-FE-018</v>
      </c>
      <c r="B4" s="9" t="str">
        <f>=Dashboard!C37</f>
        <v>Final UI Testing</v>
      </c>
      <c r="C4" s="9" t="str">
        <f>=Dashboard!D37</f>
        <v>Adithyan N</v>
      </c>
      <c r="D4" s="15" t="str">
        <f>=Dashboard!E37</f>
        <v>High</v>
      </c>
      <c r="E4" s="15" t="str">
        <f>=Dashboard!I37</f>
        <v>TASK-FE-017</v>
      </c>
      <c r="F4" s="15" t="str">
        <f>=Dashboard!F37</f>
        <v>Not Started</v>
      </c>
      <c r="G4" s="9" t="s">
        <v>305</v>
      </c>
      <c r="H4" s="15" t="s">
        <v>245</v>
      </c>
      <c r="I4" s="15" t="s">
        <v>245</v>
      </c>
      <c r="J4" s="9" t="str">
        <f>=Dashboard!L37</f>
        <v>QA Visual signoff template configured</v>
      </c>
    </row>
    <row r="5" spans="1:10" x14ac:dyDescent="0.25">
      <c r="A5" s="13" t="str">
        <f>=Dashboard!A70</f>
        <v>TASK-QA-004</v>
      </c>
      <c r="B5" s="6" t="str">
        <f>=Dashboard!C70</f>
        <v>UAT</v>
      </c>
      <c r="C5" s="6" t="str">
        <f>=Dashboard!D70</f>
        <v>Minha Palakkathodi</v>
      </c>
      <c r="D5" s="13" t="str">
        <f>=Dashboard!E70</f>
        <v>High</v>
      </c>
      <c r="E5" s="13" t="str">
        <f>=Dashboard!I70</f>
        <v>None</v>
      </c>
      <c r="F5" s="13" t="str">
        <f>=Dashboard!F70</f>
        <v>Not Started</v>
      </c>
      <c r="G5" s="6" t="s">
        <v>306</v>
      </c>
      <c r="H5" s="13" t="s">
        <v>245</v>
      </c>
      <c r="I5" s="13" t="s">
        <v>245</v>
      </c>
      <c r="J5" s="6" t="str">
        <f>=Dashboard!L70</f>
        <v>Acceptance signs template setup</v>
      </c>
    </row>
    <row r="6" spans="1:10" x14ac:dyDescent="0.25">
      <c r="A6" s="15" t="str">
        <f>=Dashboard!A71</f>
        <v>TASK-QA-005</v>
      </c>
      <c r="B6" s="9" t="str">
        <f>=Dashboard!C71</f>
        <v>Handover Documentation</v>
      </c>
      <c r="C6" s="9" t="str">
        <f>=Dashboard!D71</f>
        <v>Minha Palakkathodi</v>
      </c>
      <c r="D6" s="15" t="str">
        <f>=Dashboard!E71</f>
        <v>High</v>
      </c>
      <c r="E6" s="15" t="str">
        <f>=Dashboard!I71</f>
        <v>None</v>
      </c>
      <c r="F6" s="15" t="str">
        <f>=Dashboard!F71</f>
        <v>Not Started</v>
      </c>
      <c r="G6" s="9" t="s">
        <v>307</v>
      </c>
      <c r="H6" s="15" t="s">
        <v>245</v>
      </c>
      <c r="I6" s="15" t="s">
        <v>245</v>
      </c>
      <c r="J6" s="9" t="str">
        <f>=Dashboard!L71</f>
        <v>Official handoff portfolio templates drafted</v>
      </c>
    </row>
    <row r="7" spans="1:10" x14ac:dyDescent="0.25">
      <c r="A7" s="13" t="str">
        <f>=Dashboard!A72</f>
        <v>TASK-QA-006</v>
      </c>
      <c r="B7" s="6" t="str">
        <f>=Dashboard!C72</f>
        <v>Documentation Updates</v>
      </c>
      <c r="C7" s="6" t="str">
        <f>=Dashboard!D72</f>
        <v>Minha Palakkathodi</v>
      </c>
      <c r="D7" s="13" t="str">
        <f>=Dashboard!E72</f>
        <v>Medium</v>
      </c>
      <c r="E7" s="13" t="str">
        <f>=Dashboard!I72</f>
        <v>None</v>
      </c>
      <c r="F7" s="13" t="str">
        <f>=Dashboard!F72</f>
        <v>Not Started</v>
      </c>
      <c r="G7" s="6" t="s">
        <v>308</v>
      </c>
      <c r="H7" s="13" t="s">
        <v>245</v>
      </c>
      <c r="I7" s="13" t="s">
        <v>245</v>
      </c>
      <c r="J7" s="6" t="str">
        <f>=Dashboard!L72</f>
        <v>Final directory inventory check template</v>
      </c>
    </row>
  </sheetData>
  <autoFilter ref="A2:J7"/>
  <mergeCells count="1">
    <mergeCell ref="A1:J1"/>
  </mergeCells>
  <conditionalFormatting sqref="F3:F7">
    <cfRule type="cellIs" dxfId="72" priority="1" operator="equal">
      <formula>"Completed"</formula>
    </cfRule>
    <cfRule type="cellIs" dxfId="73" priority="2" operator="equal">
      <formula>"In Progress"</formula>
    </cfRule>
    <cfRule type="cellIs" dxfId="74" priority="3" operator="equal">
      <formula>"Review"</formula>
    </cfRule>
    <cfRule type="cellIs" dxfId="75" priority="4" operator="equal">
      <formula>"Blocked"</formula>
    </cfRule>
    <cfRule type="cellIs" dxfId="76" priority="5" operator="equal">
      <formula>"Not Started"</formula>
    </cfRule>
  </conditionalFormatting>
  <conditionalFormatting sqref="D3:D7">
    <cfRule type="cellIs" dxfId="77" priority="6" operator="equal">
      <formula>"Critical"</formula>
    </cfRule>
    <cfRule type="cellIs" dxfId="78" priority="7" operator="equal">
      <formula>"High"</formula>
    </cfRule>
    <cfRule type="cellIs" dxfId="79" priority="8" operator="equal">
      <formula>"Medium"</formula>
    </cfRule>
    <cfRule type="cellIs" dxfId="80" priority="9" operator="equal">
      <formula>"Low"</formula>
    </cfRule>
  </conditionalFormatting>
  <dataValidations count="2">
    <dataValidation type="list" allowBlank="1" sqref="D3:D7">
      <formula1>"Critical,High,Medium,Low"</formula1>
    </dataValidation>
    <dataValidation type="list" allowBlank="1" sqref="F3:F7">
      <formula1>"Not Started,In Progress,Review,Completed,Blocked"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9" width="40" customWidth="1"/>
  </cols>
  <sheetData>
    <row r="1" ht="24" customHeight="1" spans="1:9" x14ac:dyDescent="0.25">
      <c r="A1" s="37" t="s">
        <v>309</v>
      </c>
      <c r="B1" s="37"/>
      <c r="C1" s="37"/>
      <c r="D1" s="37"/>
      <c r="E1" s="37"/>
      <c r="F1" s="37"/>
      <c r="G1" s="37"/>
      <c r="H1" s="37"/>
      <c r="I1" s="37"/>
    </row>
    <row r="2" ht="26" customHeight="1" spans="1:9" x14ac:dyDescent="0.25">
      <c r="A2" s="12" t="s">
        <v>39</v>
      </c>
      <c r="B2" s="12" t="s">
        <v>41</v>
      </c>
      <c r="C2" s="12" t="s">
        <v>42</v>
      </c>
      <c r="D2" s="12" t="s">
        <v>43</v>
      </c>
      <c r="E2" s="12" t="s">
        <v>44</v>
      </c>
      <c r="F2" s="12" t="s">
        <v>46</v>
      </c>
      <c r="G2" s="12" t="s">
        <v>47</v>
      </c>
      <c r="H2" s="12" t="s">
        <v>48</v>
      </c>
      <c r="I2" s="12" t="s">
        <v>50</v>
      </c>
    </row>
    <row r="3" spans="1:9" x14ac:dyDescent="0.25">
      <c r="A3" s="13" t="str">
        <f>=Dashboard!A38</f>
        <v>TASK-BE-001</v>
      </c>
      <c r="B3" s="6" t="str">
        <f>=Dashboard!C38</f>
        <v>Express Setup</v>
      </c>
      <c r="C3" s="6" t="str">
        <f>=Dashboard!D38</f>
        <v>Muhammad Sanish</v>
      </c>
      <c r="D3" s="13" t="str">
        <f>=Dashboard!E38</f>
        <v>Critical</v>
      </c>
      <c r="E3" s="13" t="str">
        <f>=Dashboard!F38</f>
        <v>Completed</v>
      </c>
      <c r="F3" s="13" t="str">
        <f>=Dashboard!H38</f>
        <v>Day 1</v>
      </c>
      <c r="G3" s="13" t="str">
        <f>=Dashboard!I38</f>
        <v>TASK-INF-002</v>
      </c>
      <c r="H3" s="13" t="str">
        <f>=Dashboard!J38</f>
        <v>Completed</v>
      </c>
      <c r="I3" s="6" t="str">
        <f>=Dashboard!L38</f>
        <v>Winston logger active and CORS rules applied</v>
      </c>
    </row>
    <row r="4" spans="1:9" x14ac:dyDescent="0.25">
      <c r="A4" s="15" t="str">
        <f>=Dashboard!A39</f>
        <v>TASK-BE-002</v>
      </c>
      <c r="B4" s="9" t="str">
        <f>=Dashboard!C39</f>
        <v>JWT Authentication</v>
      </c>
      <c r="C4" s="9" t="str">
        <f>=Dashboard!D39</f>
        <v>Muhammad Sanish</v>
      </c>
      <c r="D4" s="15" t="str">
        <f>=Dashboard!E39</f>
        <v>Critical</v>
      </c>
      <c r="E4" s="15" t="str">
        <f>=Dashboard!F39</f>
        <v>Completed</v>
      </c>
      <c r="F4" s="15" t="str">
        <f>=Dashboard!H39</f>
        <v>Day 2</v>
      </c>
      <c r="G4" s="15" t="str">
        <f>=Dashboard!I39</f>
        <v>TASK-BE-001</v>
      </c>
      <c r="H4" s="15" t="str">
        <f>=Dashboard!J39</f>
        <v>Completed</v>
      </c>
      <c r="I4" s="9" t="str">
        <f>=Dashboard!L39</f>
        <v>Bcrypt hashed passwords verified on register</v>
      </c>
    </row>
    <row r="5" spans="1:9" x14ac:dyDescent="0.25">
      <c r="A5" s="13" t="str">
        <f>=Dashboard!A40</f>
        <v>TASK-BE-003</v>
      </c>
      <c r="B5" s="6" t="str">
        <f>=Dashboard!C40</f>
        <v>RBAC</v>
      </c>
      <c r="C5" s="6" t="str">
        <f>=Dashboard!D40</f>
        <v>Muhammad Sanish</v>
      </c>
      <c r="D5" s="13" t="str">
        <f>=Dashboard!E40</f>
        <v>Critical</v>
      </c>
      <c r="E5" s="13" t="str">
        <f>=Dashboard!F40</f>
        <v>Completed</v>
      </c>
      <c r="F5" s="13" t="str">
        <f>=Dashboard!H40</f>
        <v>Day 2</v>
      </c>
      <c r="G5" s="13" t="str">
        <f>=Dashboard!I40</f>
        <v>TASK-BE-002</v>
      </c>
      <c r="H5" s="13" t="str">
        <f>=Dashboard!J40</f>
        <v>Completed</v>
      </c>
      <c r="I5" s="6" t="str">
        <f>=Dashboard!L40</f>
        <v>Token payload checks for Citizen, Staff, Admin active</v>
      </c>
    </row>
    <row r="6" spans="1:9" x14ac:dyDescent="0.25">
      <c r="A6" s="15" t="str">
        <f>=Dashboard!A41</f>
        <v>TASK-BE-004</v>
      </c>
      <c r="B6" s="9" t="str">
        <f>=Dashboard!C41</f>
        <v>Complaint APIs</v>
      </c>
      <c r="C6" s="9" t="str">
        <f>=Dashboard!D41</f>
        <v>Muhammad Sanish</v>
      </c>
      <c r="D6" s="15" t="str">
        <f>=Dashboard!E41</f>
        <v>High</v>
      </c>
      <c r="E6" s="15" t="str">
        <f>=Dashboard!F41</f>
        <v>Review</v>
      </c>
      <c r="F6" s="15" t="str">
        <f>=Dashboard!H41</f>
        <v>Day 3</v>
      </c>
      <c r="G6" s="15" t="str">
        <f>=Dashboard!I41</f>
        <v>TASK-BE-003</v>
      </c>
      <c r="H6" s="15" t="str">
        <f>=Dashboard!J41</f>
        <v>Completed</v>
      </c>
      <c r="I6" s="9" t="str">
        <f>=Dashboard!L41</f>
        <v>Transaction logs active, code complete, undergoing review</v>
      </c>
    </row>
    <row r="7" spans="1:9" x14ac:dyDescent="0.25">
      <c r="A7" s="13" t="str">
        <f>=Dashboard!A42</f>
        <v>TASK-BE-005</v>
      </c>
      <c r="B7" s="6" t="str">
        <f>=Dashboard!C42</f>
        <v>File Tracking APIs</v>
      </c>
      <c r="C7" s="6" t="str">
        <f>=Dashboard!D42</f>
        <v>Muhammad Sanish</v>
      </c>
      <c r="D7" s="13" t="str">
        <f>=Dashboard!E42</f>
        <v>Medium</v>
      </c>
      <c r="E7" s="13" t="str">
        <f>=Dashboard!F42</f>
        <v>Review</v>
      </c>
      <c r="F7" s="13" t="str">
        <f>=Dashboard!H42</f>
        <v>Day 3</v>
      </c>
      <c r="G7" s="13" t="str">
        <f>=Dashboard!I42</f>
        <v>TASK-BE-003</v>
      </c>
      <c r="H7" s="13" t="str">
        <f>=Dashboard!J42</f>
        <v>Completed</v>
      </c>
      <c r="I7" s="6" t="str">
        <f>=Dashboard!L42</f>
        <v>Escaped tracking strings active, under API review</v>
      </c>
    </row>
    <row r="8" spans="1:9" x14ac:dyDescent="0.25">
      <c r="A8" s="15" t="str">
        <f>=Dashboard!A43</f>
        <v>TASK-BE-006</v>
      </c>
      <c r="B8" s="9" t="str">
        <f>=Dashboard!C43</f>
        <v>Attendance APIs</v>
      </c>
      <c r="C8" s="9" t="str">
        <f>=Dashboard!D43</f>
        <v>Muhammad Sanish</v>
      </c>
      <c r="D8" s="15" t="str">
        <f>=Dashboard!E43</f>
        <v>High</v>
      </c>
      <c r="E8" s="15" t="str">
        <f>=Dashboard!F43</f>
        <v>Not Started</v>
      </c>
      <c r="F8" s="15" t="str">
        <f>=Dashboard!H43</f>
        <v>Day 4</v>
      </c>
      <c r="G8" s="15" t="str">
        <f>=Dashboard!I43</f>
        <v>TASK-BE-003</v>
      </c>
      <c r="H8" s="15" t="str">
        <f>=Dashboard!J43</f>
        <v>Pending</v>
      </c>
      <c r="I8" s="9" t="str">
        <f>=Dashboard!L43</f>
        <v>Secure verification punches adapter specifications ready</v>
      </c>
    </row>
    <row r="9" spans="1:9" x14ac:dyDescent="0.25">
      <c r="A9" s="13" t="str">
        <f>=Dashboard!A44</f>
        <v>TASK-BE-007</v>
      </c>
      <c r="B9" s="6" t="str">
        <f>=Dashboard!C44</f>
        <v>Feedback APIs</v>
      </c>
      <c r="C9" s="6" t="str">
        <f>=Dashboard!D44</f>
        <v>Muhammad Sanish</v>
      </c>
      <c r="D9" s="13" t="str">
        <f>=Dashboard!E44</f>
        <v>Medium</v>
      </c>
      <c r="E9" s="13" t="str">
        <f>=Dashboard!F44</f>
        <v>Not Started</v>
      </c>
      <c r="F9" s="13" t="str">
        <f>=Dashboard!H44</f>
        <v>Day 5</v>
      </c>
      <c r="G9" s="13" t="str">
        <f>=Dashboard!I44</f>
        <v>TASK-BE-004</v>
      </c>
      <c r="H9" s="13" t="str">
        <f>=Dashboard!J44</f>
        <v>Pending</v>
      </c>
      <c r="I9" s="6" t="str">
        <f>=Dashboard!L44</f>
        <v>Complaints lock logic active draft</v>
      </c>
    </row>
    <row r="10" spans="1:9" x14ac:dyDescent="0.25">
      <c r="A10" s="15" t="str">
        <f>=Dashboard!A45</f>
        <v>TASK-BE-008</v>
      </c>
      <c r="B10" s="9" t="str">
        <f>=Dashboard!C45</f>
        <v>Admin APIs</v>
      </c>
      <c r="C10" s="9" t="str">
        <f>=Dashboard!D45</f>
        <v>Muhammad Sanish</v>
      </c>
      <c r="D10" s="15" t="str">
        <f>=Dashboard!E45</f>
        <v>High</v>
      </c>
      <c r="E10" s="15" t="str">
        <f>=Dashboard!F45</f>
        <v>Not Started</v>
      </c>
      <c r="F10" s="15" t="str">
        <f>=Dashboard!H45</f>
        <v>Day 5</v>
      </c>
      <c r="G10" s="15" t="str">
        <f>=Dashboard!I45</f>
        <v>TASK-BE-003</v>
      </c>
      <c r="H10" s="15" t="str">
        <f>=Dashboard!J45</f>
        <v>Pending</v>
      </c>
      <c r="I10" s="9" t="str">
        <f>=Dashboard!L45</f>
        <v>Admin RBAC validation middlewares declared</v>
      </c>
    </row>
    <row r="11" spans="1:9" x14ac:dyDescent="0.25">
      <c r="A11" s="13" t="str">
        <f>=Dashboard!A46</f>
        <v>TASK-BE-009</v>
      </c>
      <c r="B11" s="6" t="str">
        <f>=Dashboard!C46</f>
        <v>Audit Logging</v>
      </c>
      <c r="C11" s="6" t="str">
        <f>=Dashboard!D46</f>
        <v>Muhammad Sanish</v>
      </c>
      <c r="D11" s="13" t="str">
        <f>=Dashboard!E46</f>
        <v>High</v>
      </c>
      <c r="E11" s="13" t="str">
        <f>=Dashboard!F46</f>
        <v>Not Started</v>
      </c>
      <c r="F11" s="13" t="str">
        <f>=Dashboard!H46</f>
        <v>Day 6</v>
      </c>
      <c r="G11" s="13" t="str">
        <f>=Dashboard!I46</f>
        <v>TASK-BE-001</v>
      </c>
      <c r="H11" s="13" t="str">
        <f>=Dashboard!J46</f>
        <v>Pending</v>
      </c>
      <c r="I11" s="6" t="str">
        <f>=Dashboard!L46</f>
        <v>Log write validations schema prepared</v>
      </c>
    </row>
    <row r="12" spans="1:9" x14ac:dyDescent="0.25">
      <c r="A12" s="15" t="str">
        <f>=Dashboard!A47</f>
        <v>TASK-BE-010</v>
      </c>
      <c r="B12" s="9" t="str">
        <f>=Dashboard!C47</f>
        <v>Middleware</v>
      </c>
      <c r="C12" s="9" t="str">
        <f>=Dashboard!D47</f>
        <v>Muhammad Sanish</v>
      </c>
      <c r="D12" s="15" t="str">
        <f>=Dashboard!E47</f>
        <v>High</v>
      </c>
      <c r="E12" s="15" t="str">
        <f>=Dashboard!F47</f>
        <v>Not Started</v>
      </c>
      <c r="F12" s="15" t="str">
        <f>=Dashboard!H47</f>
        <v>Day 6</v>
      </c>
      <c r="G12" s="15" t="str">
        <f>=Dashboard!I47</f>
        <v>TASK-BE-001</v>
      </c>
      <c r="H12" s="15" t="str">
        <f>=Dashboard!J47</f>
        <v>Pending</v>
      </c>
      <c r="I12" s="9" t="str">
        <f>=Dashboard!L47</f>
        <v>Standard middlewares pipeline mapped</v>
      </c>
    </row>
    <row r="13" spans="1:9" x14ac:dyDescent="0.25">
      <c r="A13" s="13" t="str">
        <f>=Dashboard!A48</f>
        <v>TASK-BE-011</v>
      </c>
      <c r="B13" s="6" t="str">
        <f>=Dashboard!C48</f>
        <v>Security Middleware</v>
      </c>
      <c r="C13" s="6" t="str">
        <f>=Dashboard!D48</f>
        <v>Muhammad Sanish</v>
      </c>
      <c r="D13" s="13" t="str">
        <f>=Dashboard!E48</f>
        <v>Critical</v>
      </c>
      <c r="E13" s="13" t="str">
        <f>=Dashboard!F48</f>
        <v>Not Started</v>
      </c>
      <c r="F13" s="13" t="str">
        <f>=Dashboard!H48</f>
        <v>Day 6</v>
      </c>
      <c r="G13" s="13" t="str">
        <f>=Dashboard!I48</f>
        <v>TASK-BE-001</v>
      </c>
      <c r="H13" s="13" t="str">
        <f>=Dashboard!J48</f>
        <v>Pending</v>
      </c>
      <c r="I13" s="6" t="str">
        <f>=Dashboard!L48</f>
        <v>SameSite token configurations specified</v>
      </c>
    </row>
  </sheetData>
  <autoFilter ref="A2:I13"/>
  <mergeCells count="1">
    <mergeCell ref="A1:I1"/>
  </mergeCells>
  <conditionalFormatting sqref="E3:E13">
    <cfRule type="cellIs" dxfId="81" priority="1" operator="equal">
      <formula>"Completed"</formula>
    </cfRule>
    <cfRule type="cellIs" dxfId="82" priority="2" operator="equal">
      <formula>"In Progress"</formula>
    </cfRule>
    <cfRule type="cellIs" dxfId="83" priority="3" operator="equal">
      <formula>"Review"</formula>
    </cfRule>
    <cfRule type="cellIs" dxfId="84" priority="4" operator="equal">
      <formula>"Blocked"</formula>
    </cfRule>
    <cfRule type="cellIs" dxfId="85" priority="5" operator="equal">
      <formula>"Not Started"</formula>
    </cfRule>
  </conditionalFormatting>
  <conditionalFormatting sqref="D3:D13">
    <cfRule type="cellIs" dxfId="86" priority="6" operator="equal">
      <formula>"Critical"</formula>
    </cfRule>
    <cfRule type="cellIs" dxfId="87" priority="7" operator="equal">
      <formula>"High"</formula>
    </cfRule>
    <cfRule type="cellIs" dxfId="88" priority="8" operator="equal">
      <formula>"Medium"</formula>
    </cfRule>
    <cfRule type="cellIs" dxfId="89" priority="9" operator="equal">
      <formula>"Low"</formula>
    </cfRule>
  </conditionalFormatting>
  <dataValidations count="4">
    <dataValidation type="list" allowBlank="1" sqref="D10:D13">
      <formula1>"Critical,High,Medium,Low"</formula1>
    </dataValidation>
    <dataValidation type="list" allowBlank="1" sqref="D3:D13">
      <formula1>"Critical,High,Medium,Low"</formula1>
    </dataValidation>
    <dataValidation type="list" allowBlank="1" sqref="E10:E13">
      <formula1>"Not Started,In Progress,Review,Completed,Blocked"</formula1>
    </dataValidation>
    <dataValidation type="list" allowBlank="1" sqref="E3:E13">
      <formula1>"Not Started,In Progress,Review,Completed,Blocked"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9" width="40" customWidth="1"/>
  </cols>
  <sheetData>
    <row r="1" ht="24" customHeight="1" spans="1:9" x14ac:dyDescent="0.25">
      <c r="A1" s="37" t="s">
        <v>310</v>
      </c>
      <c r="B1" s="37"/>
      <c r="C1" s="37"/>
      <c r="D1" s="37"/>
      <c r="E1" s="37"/>
      <c r="F1" s="37"/>
      <c r="G1" s="37"/>
      <c r="H1" s="37"/>
      <c r="I1" s="37"/>
    </row>
    <row r="2" ht="26" customHeight="1" spans="1:9" x14ac:dyDescent="0.25">
      <c r="A2" s="12" t="s">
        <v>39</v>
      </c>
      <c r="B2" s="12" t="s">
        <v>41</v>
      </c>
      <c r="C2" s="12" t="s">
        <v>42</v>
      </c>
      <c r="D2" s="12" t="s">
        <v>43</v>
      </c>
      <c r="E2" s="12" t="s">
        <v>44</v>
      </c>
      <c r="F2" s="12" t="s">
        <v>46</v>
      </c>
      <c r="G2" s="12" t="s">
        <v>47</v>
      </c>
      <c r="H2" s="12" t="s">
        <v>48</v>
      </c>
      <c r="I2" s="12" t="s">
        <v>50</v>
      </c>
    </row>
    <row r="3" spans="1:9" x14ac:dyDescent="0.25">
      <c r="A3" s="13" t="str">
        <f>=Dashboard!A20</f>
        <v>TASK-FE-001</v>
      </c>
      <c r="B3" s="6" t="str">
        <f>=Dashboard!C20</f>
        <v>React Setup</v>
      </c>
      <c r="C3" s="6" t="str">
        <f>=Dashboard!D20</f>
        <v>Adithyan N</v>
      </c>
      <c r="D3" s="13" t="str">
        <f>=Dashboard!E20</f>
        <v>High</v>
      </c>
      <c r="E3" s="13" t="str">
        <f>=Dashboard!F20</f>
        <v>Completed</v>
      </c>
      <c r="F3" s="13" t="str">
        <f>=Dashboard!H20</f>
        <v>Sprint 0</v>
      </c>
      <c r="G3" s="13" t="str">
        <f>=Dashboard!I20</f>
        <v>None</v>
      </c>
      <c r="H3" s="13" t="str">
        <f>=Dashboard!J20</f>
        <v>Completed</v>
      </c>
      <c r="I3" s="6" t="str">
        <f>=Dashboard!L20</f>
        <v>Vite React scaffolded with standard directory layout</v>
      </c>
    </row>
    <row r="4" spans="1:9" x14ac:dyDescent="0.25">
      <c r="A4" s="15" t="str">
        <f>=Dashboard!A21</f>
        <v>TASK-FE-002</v>
      </c>
      <c r="B4" s="9" t="str">
        <f>=Dashboard!C21</f>
        <v>Tailwind Setup</v>
      </c>
      <c r="C4" s="9" t="str">
        <f>=Dashboard!D21</f>
        <v>Adithyan N</v>
      </c>
      <c r="D4" s="15" t="str">
        <f>=Dashboard!E21</f>
        <v>High</v>
      </c>
      <c r="E4" s="15" t="str">
        <f>=Dashboard!F21</f>
        <v>Completed</v>
      </c>
      <c r="F4" s="15" t="str">
        <f>=Dashboard!H21</f>
        <v>Sprint 0</v>
      </c>
      <c r="G4" s="15" t="str">
        <f>=Dashboard!I21</f>
        <v>TASK-FE-001</v>
      </c>
      <c r="H4" s="15" t="str">
        <f>=Dashboard!J21</f>
        <v>Completed</v>
      </c>
      <c r="I4" s="9" t="str">
        <f>=Dashboard!L21</f>
        <v>Tailwind configuration, colors, and typography set up</v>
      </c>
    </row>
    <row r="5" spans="1:9" x14ac:dyDescent="0.25">
      <c r="A5" s="13" t="str">
        <f>=Dashboard!A22</f>
        <v>TASK-FE-003</v>
      </c>
      <c r="B5" s="6" t="str">
        <f>=Dashboard!C22</f>
        <v>Routing</v>
      </c>
      <c r="C5" s="6" t="str">
        <f>=Dashboard!D22</f>
        <v>Adithyan N</v>
      </c>
      <c r="D5" s="13" t="str">
        <f>=Dashboard!E22</f>
        <v>High</v>
      </c>
      <c r="E5" s="13" t="str">
        <f>=Dashboard!F22</f>
        <v>Completed</v>
      </c>
      <c r="F5" s="13" t="str">
        <f>=Dashboard!H22</f>
        <v>Day 1</v>
      </c>
      <c r="G5" s="13" t="str">
        <f>=Dashboard!I22</f>
        <v>TASK-FE-001</v>
      </c>
      <c r="H5" s="13" t="str">
        <f>=Dashboard!J22</f>
        <v>Completed</v>
      </c>
      <c r="I5" s="6" t="str">
        <f>=Dashboard!L22</f>
        <v>Browser router routes setup, layout routes configured</v>
      </c>
    </row>
    <row r="6" spans="1:9" x14ac:dyDescent="0.25">
      <c r="A6" s="15" t="str">
        <f>=Dashboard!A23</f>
        <v>TASK-FE-004</v>
      </c>
      <c r="B6" s="9" t="str">
        <f>=Dashboard!C23</f>
        <v>Protected Routes</v>
      </c>
      <c r="C6" s="9" t="str">
        <f>=Dashboard!D23</f>
        <v>Adithyan N</v>
      </c>
      <c r="D6" s="15" t="str">
        <f>=Dashboard!E23</f>
        <v>High</v>
      </c>
      <c r="E6" s="15" t="str">
        <f>=Dashboard!F23</f>
        <v>Completed</v>
      </c>
      <c r="F6" s="15" t="str">
        <f>=Dashboard!H23</f>
        <v>Day 1</v>
      </c>
      <c r="G6" s="15" t="str">
        <f>=Dashboard!I23</f>
        <v>TASK-FE-003</v>
      </c>
      <c r="H6" s="15" t="str">
        <f>=Dashboard!J23</f>
        <v>Completed</v>
      </c>
      <c r="I6" s="9" t="str">
        <f>=Dashboard!L23</f>
        <v>Client RBAC guard integrated with token decoder</v>
      </c>
    </row>
    <row r="7" spans="1:9" x14ac:dyDescent="0.25">
      <c r="A7" s="13" t="str">
        <f>=Dashboard!A24</f>
        <v>TASK-FE-005</v>
      </c>
      <c r="B7" s="6" t="str">
        <f>=Dashboard!C24</f>
        <v>Axios Setup</v>
      </c>
      <c r="C7" s="6" t="str">
        <f>=Dashboard!D24</f>
        <v>Adithyan N</v>
      </c>
      <c r="D7" s="13" t="str">
        <f>=Dashboard!E24</f>
        <v>High</v>
      </c>
      <c r="E7" s="13" t="str">
        <f>=Dashboard!F24</f>
        <v>Completed</v>
      </c>
      <c r="F7" s="13" t="str">
        <f>=Dashboard!H24</f>
        <v>Day 1</v>
      </c>
      <c r="G7" s="13" t="str">
        <f>=Dashboard!I24</f>
        <v>None</v>
      </c>
      <c r="H7" s="13" t="str">
        <f>=Dashboard!J24</f>
        <v>Completed</v>
      </c>
      <c r="I7" s="6" t="str">
        <f>=Dashboard!L24</f>
        <v>JWT interceptor setup, retry limits configured</v>
      </c>
    </row>
    <row r="8" spans="1:9" x14ac:dyDescent="0.25">
      <c r="A8" s="15" t="str">
        <f>=Dashboard!A25</f>
        <v>TASK-FE-006</v>
      </c>
      <c r="B8" s="9" t="str">
        <f>=Dashboard!C25</f>
        <v>Authentication UI</v>
      </c>
      <c r="C8" s="9" t="str">
        <f>=Dashboard!D25</f>
        <v>Adithyan N</v>
      </c>
      <c r="D8" s="15" t="str">
        <f>=Dashboard!E25</f>
        <v>High</v>
      </c>
      <c r="E8" s="15" t="str">
        <f>=Dashboard!F25</f>
        <v>Completed</v>
      </c>
      <c r="F8" s="15" t="str">
        <f>=Dashboard!H25</f>
        <v>Day 2</v>
      </c>
      <c r="G8" s="15" t="str">
        <f>=Dashboard!I25</f>
        <v>TASK-FE-004</v>
      </c>
      <c r="H8" s="15" t="str">
        <f>=Dashboard!J25</f>
        <v>Completed</v>
      </c>
      <c r="I8" s="9" t="str">
        <f>=Dashboard!L25</f>
        <v>Secure cookie setup and form validations active</v>
      </c>
    </row>
    <row r="9" spans="1:9" x14ac:dyDescent="0.25">
      <c r="A9" s="13" t="str">
        <f>=Dashboard!A26</f>
        <v>TASK-FE-007</v>
      </c>
      <c r="B9" s="6" t="str">
        <f>=Dashboard!C26</f>
        <v>Citizen Dashboard</v>
      </c>
      <c r="C9" s="6" t="str">
        <f>=Dashboard!D26</f>
        <v>Adithyan N</v>
      </c>
      <c r="D9" s="13" t="str">
        <f>=Dashboard!E26</f>
        <v>High</v>
      </c>
      <c r="E9" s="13" t="str">
        <f>=Dashboard!F26</f>
        <v>Completed</v>
      </c>
      <c r="F9" s="13" t="str">
        <f>=Dashboard!H26</f>
        <v>Day 2</v>
      </c>
      <c r="G9" s="13" t="str">
        <f>=Dashboard!I26</f>
        <v>TASK-FE-004</v>
      </c>
      <c r="H9" s="13" t="str">
        <f>=Dashboard!J26</f>
        <v>Completed</v>
      </c>
      <c r="I9" s="6" t="str">
        <f>=Dashboard!L26</f>
        <v>Overview console with responsive metrics cards active</v>
      </c>
    </row>
    <row r="10" spans="1:9" x14ac:dyDescent="0.25">
      <c r="A10" s="15" t="str">
        <f>=Dashboard!A27</f>
        <v>TASK-FE-008</v>
      </c>
      <c r="B10" s="9" t="str">
        <f>=Dashboard!C27</f>
        <v>Complaint UI</v>
      </c>
      <c r="C10" s="9" t="str">
        <f>=Dashboard!D27</f>
        <v>Adithyan N</v>
      </c>
      <c r="D10" s="15" t="str">
        <f>=Dashboard!E27</f>
        <v>High</v>
      </c>
      <c r="E10" s="15" t="str">
        <f>=Dashboard!F27</f>
        <v>In Progress</v>
      </c>
      <c r="F10" s="15" t="str">
        <f>=Dashboard!H27</f>
        <v>Day 3</v>
      </c>
      <c r="G10" s="15" t="str">
        <f>=Dashboard!I27</f>
        <v>TASK-FE-007</v>
      </c>
      <c r="H10" s="15" t="str">
        <f>=Dashboard!J27</f>
        <v>Pending</v>
      </c>
      <c r="I10" s="9" t="str">
        <f>=Dashboard!L27</f>
        <v>Input sanitizations in progress, UI layout complete</v>
      </c>
    </row>
    <row r="11" spans="1:9" x14ac:dyDescent="0.25">
      <c r="A11" s="13" t="str">
        <f>=Dashboard!A28</f>
        <v>TASK-FE-009</v>
      </c>
      <c r="B11" s="6" t="str">
        <f>=Dashboard!C28</f>
        <v>File Tracking UI</v>
      </c>
      <c r="C11" s="6" t="str">
        <f>=Dashboard!D28</f>
        <v>Adithyan N</v>
      </c>
      <c r="D11" s="13" t="str">
        <f>=Dashboard!E28</f>
        <v>Medium</v>
      </c>
      <c r="E11" s="13" t="str">
        <f>=Dashboard!F28</f>
        <v>In Progress</v>
      </c>
      <c r="F11" s="13" t="str">
        <f>=Dashboard!H28</f>
        <v>Day 3</v>
      </c>
      <c r="G11" s="13" t="str">
        <f>=Dashboard!I28</f>
        <v>TASK-FE-005</v>
      </c>
      <c r="H11" s="13" t="str">
        <f>=Dashboard!J28</f>
        <v>Pending</v>
      </c>
      <c r="I11" s="6" t="str">
        <f>=Dashboard!L28</f>
        <v>Timeline progress bar rendering in progress</v>
      </c>
    </row>
    <row r="12" spans="1:9" x14ac:dyDescent="0.25">
      <c r="A12" s="15" t="str">
        <f>=Dashboard!A29</f>
        <v>TASK-FE-010</v>
      </c>
      <c r="B12" s="9" t="str">
        <f>=Dashboard!C29</f>
        <v>Feedback UI</v>
      </c>
      <c r="C12" s="9" t="str">
        <f>=Dashboard!D29</f>
        <v>Adithyan N</v>
      </c>
      <c r="D12" s="15" t="str">
        <f>=Dashboard!E29</f>
        <v>Medium</v>
      </c>
      <c r="E12" s="15" t="str">
        <f>=Dashboard!F29</f>
        <v>Not Started</v>
      </c>
      <c r="F12" s="15" t="str">
        <f>=Dashboard!H29</f>
        <v>Day 5</v>
      </c>
      <c r="G12" s="15" t="str">
        <f>=Dashboard!I29</f>
        <v>TASK-FE-008</v>
      </c>
      <c r="H12" s="15" t="str">
        <f>=Dashboard!J29</f>
        <v>Pending</v>
      </c>
      <c r="I12" s="9" t="str">
        <f>=Dashboard!L29</f>
        <v>Satisfaction ratings form mockup completed</v>
      </c>
    </row>
    <row r="13" spans="1:9" x14ac:dyDescent="0.25">
      <c r="A13" s="13" t="str">
        <f>=Dashboard!A30</f>
        <v>TASK-FE-011</v>
      </c>
      <c r="B13" s="6" t="str">
        <f>=Dashboard!C30</f>
        <v>Staff Dashboard UI</v>
      </c>
      <c r="C13" s="6" t="str">
        <f>=Dashboard!D30</f>
        <v>Adithyan N</v>
      </c>
      <c r="D13" s="13" t="str">
        <f>=Dashboard!E30</f>
        <v>High</v>
      </c>
      <c r="E13" s="13" t="str">
        <f>=Dashboard!F30</f>
        <v>Not Started</v>
      </c>
      <c r="F13" s="13" t="str">
        <f>=Dashboard!H30</f>
        <v>Day 4</v>
      </c>
      <c r="G13" s="13" t="str">
        <f>=Dashboard!I30</f>
        <v>TASK-FE-004</v>
      </c>
      <c r="H13" s="13" t="str">
        <f>=Dashboard!J30</f>
        <v>Pending</v>
      </c>
      <c r="I13" s="6" t="str">
        <f>=Dashboard!L30</f>
        <v>Employee operations view blueprint set</v>
      </c>
    </row>
    <row r="14" spans="1:9" x14ac:dyDescent="0.25">
      <c r="A14" s="15" t="str">
        <f>=Dashboard!A31</f>
        <v>TASK-FE-012</v>
      </c>
      <c r="B14" s="9" t="str">
        <f>=Dashboard!C31</f>
        <v>Attendance UI</v>
      </c>
      <c r="C14" s="9" t="str">
        <f>=Dashboard!D31</f>
        <v>Adithyan N</v>
      </c>
      <c r="D14" s="15" t="str">
        <f>=Dashboard!E31</f>
        <v>High</v>
      </c>
      <c r="E14" s="15" t="str">
        <f>=Dashboard!F31</f>
        <v>Not Started</v>
      </c>
      <c r="F14" s="15" t="str">
        <f>=Dashboard!H31</f>
        <v>Day 4</v>
      </c>
      <c r="G14" s="15" t="str">
        <f>=Dashboard!I31</f>
        <v>TASK-FE-011</v>
      </c>
      <c r="H14" s="15" t="str">
        <f>=Dashboard!J31</f>
        <v>Pending</v>
      </c>
      <c r="I14" s="9" t="str">
        <f>=Dashboard!L31</f>
        <v>Liveness scan layout mock complete</v>
      </c>
    </row>
    <row r="15" spans="1:9" x14ac:dyDescent="0.25">
      <c r="A15" s="13" t="str">
        <f>=Dashboard!A32</f>
        <v>TASK-FE-013</v>
      </c>
      <c r="B15" s="6" t="str">
        <f>=Dashboard!C32</f>
        <v>Chatbot UI</v>
      </c>
      <c r="C15" s="6" t="str">
        <f>=Dashboard!D32</f>
        <v>Adithyan N</v>
      </c>
      <c r="D15" s="13" t="str">
        <f>=Dashboard!E32</f>
        <v>Medium</v>
      </c>
      <c r="E15" s="13" t="str">
        <f>=Dashboard!F32</f>
        <v>Not Started</v>
      </c>
      <c r="F15" s="13" t="str">
        <f>=Dashboard!H32</f>
        <v>Day 5</v>
      </c>
      <c r="G15" s="13" t="str">
        <f>=Dashboard!I32</f>
        <v>TASK-FE-005</v>
      </c>
      <c r="H15" s="13" t="str">
        <f>=Dashboard!J32</f>
        <v>Pending</v>
      </c>
      <c r="I15" s="6" t="str">
        <f>=Dashboard!L32</f>
        <v>Gemini chat console overlay designed</v>
      </c>
    </row>
    <row r="16" spans="1:9" x14ac:dyDescent="0.25">
      <c r="A16" s="15" t="str">
        <f>=Dashboard!A33</f>
        <v>TASK-FE-014</v>
      </c>
      <c r="B16" s="9" t="str">
        <f>=Dashboard!C33</f>
        <v>Admin Dashboard</v>
      </c>
      <c r="C16" s="9" t="str">
        <f>=Dashboard!D33</f>
        <v>Adithyan N</v>
      </c>
      <c r="D16" s="15" t="str">
        <f>=Dashboard!E33</f>
        <v>High</v>
      </c>
      <c r="E16" s="15" t="str">
        <f>=Dashboard!F33</f>
        <v>Not Started</v>
      </c>
      <c r="F16" s="15" t="str">
        <f>=Dashboard!H33</f>
        <v>Day 5</v>
      </c>
      <c r="G16" s="15" t="str">
        <f>=Dashboard!I33</f>
        <v>TASK-FE-004</v>
      </c>
      <c r="H16" s="15" t="str">
        <f>=Dashboard!J33</f>
        <v>Pending</v>
      </c>
      <c r="I16" s="9" t="str">
        <f>=Dashboard!L33</f>
        <v>Audit logs reviewer views prepared</v>
      </c>
    </row>
    <row r="17" spans="1:9" x14ac:dyDescent="0.25">
      <c r="A17" s="13" t="str">
        <f>=Dashboard!A34</f>
        <v>TASK-FE-015</v>
      </c>
      <c r="B17" s="6" t="str">
        <f>=Dashboard!C34</f>
        <v>Notifications UI</v>
      </c>
      <c r="C17" s="6" t="str">
        <f>=Dashboard!D34</f>
        <v>Adithyan N</v>
      </c>
      <c r="D17" s="13" t="str">
        <f>=Dashboard!E34</f>
        <v>Medium</v>
      </c>
      <c r="E17" s="13" t="str">
        <f>=Dashboard!F34</f>
        <v>Not Started</v>
      </c>
      <c r="F17" s="13" t="str">
        <f>=Dashboard!H34</f>
        <v>Day 6</v>
      </c>
      <c r="G17" s="13" t="str">
        <f>=Dashboard!I34</f>
        <v>TASK-FE-005</v>
      </c>
      <c r="H17" s="13" t="str">
        <f>=Dashboard!J34</f>
        <v>Pending</v>
      </c>
      <c r="I17" s="6" t="str">
        <f>=Dashboard!L34</f>
        <v>Dynamic web toasts configuration ready</v>
      </c>
    </row>
    <row r="18" spans="1:9" x14ac:dyDescent="0.25">
      <c r="A18" s="15" t="str">
        <f>=Dashboard!A35</f>
        <v>TASK-FE-016</v>
      </c>
      <c r="B18" s="9" t="str">
        <f>=Dashboard!C35</f>
        <v>Responsive Fixes</v>
      </c>
      <c r="C18" s="9" t="str">
        <f>=Dashboard!D35</f>
        <v>Adithyan N</v>
      </c>
      <c r="D18" s="15" t="str">
        <f>=Dashboard!E35</f>
        <v>Medium</v>
      </c>
      <c r="E18" s="15" t="str">
        <f>=Dashboard!F35</f>
        <v>Not Started</v>
      </c>
      <c r="F18" s="15" t="str">
        <f>=Dashboard!H35</f>
        <v>Day 6</v>
      </c>
      <c r="G18" s="15" t="str">
        <f>=Dashboard!I35</f>
        <v>TASK-FE-014</v>
      </c>
      <c r="H18" s="15" t="str">
        <f>=Dashboard!J35</f>
        <v>Pending</v>
      </c>
      <c r="I18" s="9" t="str">
        <f>=Dashboard!L35</f>
        <v>Mobile views checking strategy defined</v>
      </c>
    </row>
    <row r="19" spans="1:9" x14ac:dyDescent="0.25">
      <c r="A19" s="13" t="str">
        <f>=Dashboard!A36</f>
        <v>TASK-FE-017</v>
      </c>
      <c r="B19" s="6" t="str">
        <f>=Dashboard!C36</f>
        <v>Integration</v>
      </c>
      <c r="C19" s="6" t="str">
        <f>=Dashboard!D36</f>
        <v>Adithyan N</v>
      </c>
      <c r="D19" s="13" t="str">
        <f>=Dashboard!E36</f>
        <v>High</v>
      </c>
      <c r="E19" s="13" t="str">
        <f>=Dashboard!F36</f>
        <v>Not Started</v>
      </c>
      <c r="F19" s="13" t="str">
        <f>=Dashboard!H36</f>
        <v>Day 6</v>
      </c>
      <c r="G19" s="13" t="str">
        <f>=Dashboard!I36</f>
        <v>TASK-FE-015</v>
      </c>
      <c r="H19" s="13" t="str">
        <f>=Dashboard!J36</f>
        <v>Pending</v>
      </c>
      <c r="I19" s="6" t="str">
        <f>=Dashboard!L36</f>
        <v>All endpoints integration mapping checklist</v>
      </c>
    </row>
    <row r="20" spans="1:9" x14ac:dyDescent="0.25">
      <c r="A20" s="15" t="str">
        <f>=Dashboard!A37</f>
        <v>TASK-FE-018</v>
      </c>
      <c r="B20" s="9" t="str">
        <f>=Dashboard!C37</f>
        <v>Final UI Testing</v>
      </c>
      <c r="C20" s="9" t="str">
        <f>=Dashboard!D37</f>
        <v>Adithyan N</v>
      </c>
      <c r="D20" s="15" t="str">
        <f>=Dashboard!E37</f>
        <v>High</v>
      </c>
      <c r="E20" s="15" t="str">
        <f>=Dashboard!F37</f>
        <v>Not Started</v>
      </c>
      <c r="F20" s="15" t="str">
        <f>=Dashboard!H37</f>
        <v>Day 7</v>
      </c>
      <c r="G20" s="15" t="str">
        <f>=Dashboard!I37</f>
        <v>TASK-FE-017</v>
      </c>
      <c r="H20" s="15" t="str">
        <f>=Dashboard!J37</f>
        <v>Pending</v>
      </c>
      <c r="I20" s="9" t="str">
        <f>=Dashboard!L37</f>
        <v>QA Visual signoff template configured</v>
      </c>
    </row>
  </sheetData>
  <autoFilter ref="A2:I20"/>
  <mergeCells count="1">
    <mergeCell ref="A1:I1"/>
  </mergeCells>
  <conditionalFormatting sqref="E3:E20">
    <cfRule type="cellIs" dxfId="90" priority="1" operator="equal">
      <formula>"Completed"</formula>
    </cfRule>
    <cfRule type="cellIs" dxfId="91" priority="2" operator="equal">
      <formula>"In Progress"</formula>
    </cfRule>
    <cfRule type="cellIs" dxfId="92" priority="3" operator="equal">
      <formula>"Review"</formula>
    </cfRule>
    <cfRule type="cellIs" dxfId="93" priority="4" operator="equal">
      <formula>"Blocked"</formula>
    </cfRule>
    <cfRule type="cellIs" dxfId="94" priority="5" operator="equal">
      <formula>"Not Started"</formula>
    </cfRule>
  </conditionalFormatting>
  <conditionalFormatting sqref="D3:D20">
    <cfRule type="cellIs" dxfId="95" priority="6" operator="equal">
      <formula>"Critical"</formula>
    </cfRule>
    <cfRule type="cellIs" dxfId="96" priority="7" operator="equal">
      <formula>"High"</formula>
    </cfRule>
    <cfRule type="cellIs" dxfId="97" priority="8" operator="equal">
      <formula>"Medium"</formula>
    </cfRule>
    <cfRule type="cellIs" dxfId="98" priority="9" operator="equal">
      <formula>"Low"</formula>
    </cfRule>
  </conditionalFormatting>
  <dataValidations count="4">
    <dataValidation type="list" allowBlank="1" sqref="D10:D20">
      <formula1>"Critical,High,Medium,Low"</formula1>
    </dataValidation>
    <dataValidation type="list" allowBlank="1" sqref="D3:D20">
      <formula1>"Critical,High,Medium,Low"</formula1>
    </dataValidation>
    <dataValidation type="list" allowBlank="1" sqref="E10:E20">
      <formula1>"Not Started,In Progress,Review,Completed,Blocked"</formula1>
    </dataValidation>
    <dataValidation type="list" allowBlank="1" sqref="E3:E20">
      <formula1>"Not Started,In Progress,Review,Completed,Blocked"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9" width="40" customWidth="1"/>
  </cols>
  <sheetData>
    <row r="1" ht="24" customHeight="1" spans="1:9" x14ac:dyDescent="0.25">
      <c r="A1" s="37" t="s">
        <v>311</v>
      </c>
      <c r="B1" s="37"/>
      <c r="C1" s="37"/>
      <c r="D1" s="37"/>
      <c r="E1" s="37"/>
      <c r="F1" s="37"/>
      <c r="G1" s="37"/>
      <c r="H1" s="37"/>
      <c r="I1" s="37"/>
    </row>
    <row r="2" ht="26" customHeight="1" spans="1:9" x14ac:dyDescent="0.25">
      <c r="A2" s="12" t="s">
        <v>39</v>
      </c>
      <c r="B2" s="12" t="s">
        <v>41</v>
      </c>
      <c r="C2" s="12" t="s">
        <v>42</v>
      </c>
      <c r="D2" s="12" t="s">
        <v>43</v>
      </c>
      <c r="E2" s="12" t="s">
        <v>44</v>
      </c>
      <c r="F2" s="12" t="s">
        <v>46</v>
      </c>
      <c r="G2" s="12" t="s">
        <v>47</v>
      </c>
      <c r="H2" s="12" t="s">
        <v>48</v>
      </c>
      <c r="I2" s="12" t="s">
        <v>50</v>
      </c>
    </row>
    <row r="3" spans="1:9" x14ac:dyDescent="0.25">
      <c r="A3" s="13" t="str">
        <f>=Dashboard!A49</f>
        <v>TASK-DB-001</v>
      </c>
      <c r="B3" s="6" t="str">
        <f>=Dashboard!C49</f>
        <v>Core Schema Creation</v>
      </c>
      <c r="C3" s="6" t="str">
        <f>=Dashboard!D49</f>
        <v>Fathima Hana</v>
      </c>
      <c r="D3" s="13" t="str">
        <f>=Dashboard!E49</f>
        <v>Critical</v>
      </c>
      <c r="E3" s="13" t="str">
        <f>=Dashboard!F49</f>
        <v>Completed</v>
      </c>
      <c r="F3" s="13" t="str">
        <f>=Dashboard!H49</f>
        <v>Sprint 0</v>
      </c>
      <c r="G3" s="13" t="str">
        <f>=Dashboard!I49</f>
        <v>TASK-INF-001</v>
      </c>
      <c r="H3" s="13" t="str">
        <f>=Dashboard!J49</f>
        <v>Completed</v>
      </c>
      <c r="I3" s="6" t="str">
        <f>=Dashboard!L49</f>
        <v>Support: Adithyan N. Constraints loaded and DB connection active</v>
      </c>
    </row>
    <row r="4" spans="1:9" x14ac:dyDescent="0.25">
      <c r="A4" s="15" t="str">
        <f>=Dashboard!A50</f>
        <v>TASK-DB-002</v>
      </c>
      <c r="B4" s="9" t="str">
        <f>=Dashboard!C50</f>
        <v>Mongoose Models</v>
      </c>
      <c r="C4" s="9" t="str">
        <f>=Dashboard!D50</f>
        <v>Fathima Hana</v>
      </c>
      <c r="D4" s="15" t="str">
        <f>=Dashboard!E50</f>
        <v>Critical</v>
      </c>
      <c r="E4" s="15" t="str">
        <f>=Dashboard!F50</f>
        <v>Completed</v>
      </c>
      <c r="F4" s="15" t="str">
        <f>=Dashboard!H50</f>
        <v>Day 1</v>
      </c>
      <c r="G4" s="15" t="str">
        <f>=Dashboard!I50</f>
        <v>TASK-DB-001</v>
      </c>
      <c r="H4" s="15" t="str">
        <f>=Dashboard!J50</f>
        <v>Completed</v>
      </c>
      <c r="I4" s="9" t="str">
        <f>=Dashboard!L50</f>
        <v>Support: Adithyan N. Unique key bounds and validators active</v>
      </c>
    </row>
    <row r="5" spans="1:9" x14ac:dyDescent="0.25">
      <c r="A5" s="13" t="str">
        <f>=Dashboard!A51</f>
        <v>TASK-DB-003</v>
      </c>
      <c r="B5" s="6" t="str">
        <f>=Dashboard!C51</f>
        <v>Relationships</v>
      </c>
      <c r="C5" s="6" t="str">
        <f>=Dashboard!D51</f>
        <v>Fathima Hana</v>
      </c>
      <c r="D5" s="13" t="str">
        <f>=Dashboard!E51</f>
        <v>High</v>
      </c>
      <c r="E5" s="13" t="str">
        <f>=Dashboard!F51</f>
        <v>Completed</v>
      </c>
      <c r="F5" s="13" t="str">
        <f>=Dashboard!H51</f>
        <v>Day 3</v>
      </c>
      <c r="G5" s="13" t="str">
        <f>=Dashboard!I51</f>
        <v>TASK-DB-002</v>
      </c>
      <c r="H5" s="13" t="str">
        <f>=Dashboard!J51</f>
        <v>Completed</v>
      </c>
      <c r="I5" s="6" t="str">
        <f>=Dashboard!L51</f>
        <v>Support: Adithyan N. Model referencing setup and verified</v>
      </c>
    </row>
    <row r="6" spans="1:9" x14ac:dyDescent="0.25">
      <c r="A6" s="15" t="str">
        <f>=Dashboard!A52</f>
        <v>TASK-DB-004</v>
      </c>
      <c r="B6" s="9" t="str">
        <f>=Dashboard!C52</f>
        <v>Indexing</v>
      </c>
      <c r="C6" s="9" t="str">
        <f>=Dashboard!D52</f>
        <v>Fathima Hana</v>
      </c>
      <c r="D6" s="15" t="str">
        <f>=Dashboard!E52</f>
        <v>Medium</v>
      </c>
      <c r="E6" s="15" t="str">
        <f>=Dashboard!F52</f>
        <v>Completed</v>
      </c>
      <c r="F6" s="15" t="str">
        <f>=Dashboard!H52</f>
        <v>Day 3</v>
      </c>
      <c r="G6" s="15" t="str">
        <f>=Dashboard!I52</f>
        <v>TASK-DB-002</v>
      </c>
      <c r="H6" s="15" t="str">
        <f>=Dashboard!J52</f>
        <v>Completed</v>
      </c>
      <c r="I6" s="9" t="str">
        <f>=Dashboard!L52</f>
        <v>Support: Adithyan N. Indexes configured, query execution fast</v>
      </c>
    </row>
    <row r="7" spans="1:9" x14ac:dyDescent="0.25">
      <c r="A7" s="13" t="str">
        <f>=Dashboard!A53</f>
        <v>TASK-DB-005</v>
      </c>
      <c r="B7" s="6" t="str">
        <f>=Dashboard!C53</f>
        <v>Validation</v>
      </c>
      <c r="C7" s="6" t="str">
        <f>=Dashboard!D53</f>
        <v>Fathima Hana</v>
      </c>
      <c r="D7" s="13" t="str">
        <f>=Dashboard!E53</f>
        <v>High</v>
      </c>
      <c r="E7" s="13" t="str">
        <f>=Dashboard!F53</f>
        <v>Not Started</v>
      </c>
      <c r="F7" s="13" t="str">
        <f>=Dashboard!H53</f>
        <v>Day 6</v>
      </c>
      <c r="G7" s="13" t="str">
        <f>=Dashboard!I53</f>
        <v>TASK-DB-002</v>
      </c>
      <c r="H7" s="13" t="str">
        <f>=Dashboard!J53</f>
        <v>Pending</v>
      </c>
      <c r="I7" s="6" t="str">
        <f>=Dashboard!L53</f>
        <v>Support: Adithyan N. Format checks drafted</v>
      </c>
    </row>
    <row r="8" spans="1:9" x14ac:dyDescent="0.25">
      <c r="A8" s="15" t="str">
        <f>=Dashboard!A54</f>
        <v>TASK-DB-006</v>
      </c>
      <c r="B8" s="9" t="str">
        <f>=Dashboard!C54</f>
        <v>Query Optimization</v>
      </c>
      <c r="C8" s="9" t="str">
        <f>=Dashboard!D54</f>
        <v>Fathima Hana</v>
      </c>
      <c r="D8" s="15" t="str">
        <f>=Dashboard!E54</f>
        <v>Medium</v>
      </c>
      <c r="E8" s="15" t="str">
        <f>=Dashboard!F54</f>
        <v>Not Started</v>
      </c>
      <c r="F8" s="15" t="str">
        <f>=Dashboard!H54</f>
        <v>Day 6</v>
      </c>
      <c r="G8" s="15" t="str">
        <f>=Dashboard!I54</f>
        <v>TASK-DB-004</v>
      </c>
      <c r="H8" s="15" t="str">
        <f>=Dashboard!J54</f>
        <v>Pending</v>
      </c>
      <c r="I8" s="9" t="str">
        <f>=Dashboard!L54</f>
        <v>Support: Adithyan N. Query optimization strategy defined</v>
      </c>
    </row>
  </sheetData>
  <autoFilter ref="A2:I8"/>
  <mergeCells count="1">
    <mergeCell ref="A1:I1"/>
  </mergeCells>
  <conditionalFormatting sqref="E3:E8">
    <cfRule type="cellIs" dxfId="99" priority="1" operator="equal">
      <formula>"Completed"</formula>
    </cfRule>
    <cfRule type="cellIs" dxfId="100" priority="2" operator="equal">
      <formula>"In Progress"</formula>
    </cfRule>
    <cfRule type="cellIs" dxfId="101" priority="3" operator="equal">
      <formula>"Review"</formula>
    </cfRule>
    <cfRule type="cellIs" dxfId="102" priority="4" operator="equal">
      <formula>"Blocked"</formula>
    </cfRule>
    <cfRule type="cellIs" dxfId="103" priority="5" operator="equal">
      <formula>"Not Started"</formula>
    </cfRule>
  </conditionalFormatting>
  <conditionalFormatting sqref="D3:D8">
    <cfRule type="cellIs" dxfId="104" priority="6" operator="equal">
      <formula>"Critical"</formula>
    </cfRule>
    <cfRule type="cellIs" dxfId="105" priority="7" operator="equal">
      <formula>"High"</formula>
    </cfRule>
    <cfRule type="cellIs" dxfId="106" priority="8" operator="equal">
      <formula>"Medium"</formula>
    </cfRule>
    <cfRule type="cellIs" dxfId="107" priority="9" operator="equal">
      <formula>"Low"</formula>
    </cfRule>
  </conditionalFormatting>
  <dataValidations count="2">
    <dataValidation type="list" allowBlank="1" sqref="D3:D8">
      <formula1>"Critical,High,Medium,Low"</formula1>
    </dataValidation>
    <dataValidation type="list" allowBlank="1" sqref="E3:E8">
      <formula1>"Not Started,In Progress,Review,Completed,Blocked"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9" width="40" customWidth="1"/>
  </cols>
  <sheetData>
    <row r="1" ht="24" customHeight="1" spans="1:9" x14ac:dyDescent="0.25">
      <c r="A1" s="37" t="s">
        <v>312</v>
      </c>
      <c r="B1" s="37"/>
      <c r="C1" s="37"/>
      <c r="D1" s="37"/>
      <c r="E1" s="37"/>
      <c r="F1" s="37"/>
      <c r="G1" s="37"/>
      <c r="H1" s="37"/>
      <c r="I1" s="37"/>
    </row>
    <row r="2" ht="26" customHeight="1" spans="1:9" x14ac:dyDescent="0.25">
      <c r="A2" s="12" t="s">
        <v>39</v>
      </c>
      <c r="B2" s="12" t="s">
        <v>41</v>
      </c>
      <c r="C2" s="12" t="s">
        <v>42</v>
      </c>
      <c r="D2" s="12" t="s">
        <v>43</v>
      </c>
      <c r="E2" s="12" t="s">
        <v>44</v>
      </c>
      <c r="F2" s="12" t="s">
        <v>46</v>
      </c>
      <c r="G2" s="12" t="s">
        <v>47</v>
      </c>
      <c r="H2" s="12" t="s">
        <v>48</v>
      </c>
      <c r="I2" s="12" t="s">
        <v>50</v>
      </c>
    </row>
    <row r="3" spans="1:9" x14ac:dyDescent="0.25">
      <c r="A3" s="13" t="str">
        <f>=Dashboard!A55</f>
        <v>TASK-AI-001</v>
      </c>
      <c r="B3" s="6" t="str">
        <f>=Dashboard!C55</f>
        <v>Gemini Chatbot</v>
      </c>
      <c r="C3" s="6" t="str">
        <f>=Dashboard!D55</f>
        <v>Muhammed Sadik KT</v>
      </c>
      <c r="D3" s="13" t="str">
        <f>=Dashboard!E55</f>
        <v>High</v>
      </c>
      <c r="E3" s="13" t="str">
        <f>=Dashboard!F55</f>
        <v>Not Started</v>
      </c>
      <c r="F3" s="13" t="str">
        <f>=Dashboard!H55</f>
        <v>Day 5</v>
      </c>
      <c r="G3" s="13" t="str">
        <f>=Dashboard!I55</f>
        <v>None</v>
      </c>
      <c r="H3" s="13" t="str">
        <f>=Dashboard!J55</f>
        <v>Pending</v>
      </c>
      <c r="I3" s="6" t="str">
        <f>=Dashboard!L55</f>
        <v>RAG context bounds applied</v>
      </c>
    </row>
    <row r="4" spans="1:9" x14ac:dyDescent="0.25">
      <c r="A4" s="15" t="str">
        <f>=Dashboard!A56</f>
        <v>TASK-AI-002</v>
      </c>
      <c r="B4" s="9" t="str">
        <f>=Dashboard!C56</f>
        <v>OCR</v>
      </c>
      <c r="C4" s="9" t="str">
        <f>=Dashboard!D56</f>
        <v>Muhammed Sadik KT</v>
      </c>
      <c r="D4" s="15" t="str">
        <f>=Dashboard!E56</f>
        <v>Medium</v>
      </c>
      <c r="E4" s="15" t="str">
        <f>=Dashboard!F56</f>
        <v>Not Started</v>
      </c>
      <c r="F4" s="15" t="str">
        <f>=Dashboard!H56</f>
        <v>Day 5</v>
      </c>
      <c r="G4" s="15" t="str">
        <f>=Dashboard!I56</f>
        <v>None</v>
      </c>
      <c r="H4" s="15" t="str">
        <f>=Dashboard!J56</f>
        <v>Pending</v>
      </c>
      <c r="I4" s="9" t="str">
        <f>=Dashboard!L56</f>
        <v>Secure local storage sandbox specs</v>
      </c>
    </row>
    <row r="5" spans="1:9" x14ac:dyDescent="0.25">
      <c r="A5" s="13" t="str">
        <f>=Dashboard!A57</f>
        <v>TASK-AI-003</v>
      </c>
      <c r="B5" s="6" t="str">
        <f>=Dashboard!C57</f>
        <v>AI APIs</v>
      </c>
      <c r="C5" s="6" t="str">
        <f>=Dashboard!D57</f>
        <v>Muhammed Sadik KT</v>
      </c>
      <c r="D5" s="13" t="str">
        <f>=Dashboard!E57</f>
        <v>High</v>
      </c>
      <c r="E5" s="13" t="str">
        <f>=Dashboard!F57</f>
        <v>Not Started</v>
      </c>
      <c r="F5" s="13" t="str">
        <f>=Dashboard!H57</f>
        <v>Day 5</v>
      </c>
      <c r="G5" s="13" t="str">
        <f>=Dashboard!I57</f>
        <v>None</v>
      </c>
      <c r="H5" s="13" t="str">
        <f>=Dashboard!J57</f>
        <v>Pending</v>
      </c>
      <c r="I5" s="6" t="str">
        <f>=Dashboard!L57</f>
        <v>Secure credentials configuration detailed</v>
      </c>
    </row>
    <row r="6" spans="1:9" x14ac:dyDescent="0.25">
      <c r="A6" s="15" t="str">
        <f>=Dashboard!A58</f>
        <v>TASK-AI-004</v>
      </c>
      <c r="B6" s="9" t="str">
        <f>=Dashboard!C58</f>
        <v>Prompt Engineering</v>
      </c>
      <c r="C6" s="9" t="str">
        <f>=Dashboard!D58</f>
        <v>Muhammed Sadik KT</v>
      </c>
      <c r="D6" s="15" t="str">
        <f>=Dashboard!E58</f>
        <v>Medium</v>
      </c>
      <c r="E6" s="15" t="str">
        <f>=Dashboard!F58</f>
        <v>Not Started</v>
      </c>
      <c r="F6" s="15" t="str">
        <f>=Dashboard!H58</f>
        <v>Day 5</v>
      </c>
      <c r="G6" s="15" t="str">
        <f>=Dashboard!I58</f>
        <v>TASK-AI-001</v>
      </c>
      <c r="H6" s="15" t="str">
        <f>=Dashboard!J58</f>
        <v>Pending</v>
      </c>
      <c r="I6" s="9" t="str">
        <f>=Dashboard!L58</f>
        <v>Prompt injection guards drafted</v>
      </c>
    </row>
    <row r="7" spans="1:9" x14ac:dyDescent="0.25">
      <c r="A7" s="13" t="str">
        <f>=Dashboard!A59</f>
        <v>TASK-AI-005</v>
      </c>
      <c r="B7" s="6" t="str">
        <f>=Dashboard!C59</f>
        <v>Face Recognition Core Implementation</v>
      </c>
      <c r="C7" s="6" t="str">
        <f>=Dashboard!D59</f>
        <v>Muhammed Sadik KT</v>
      </c>
      <c r="D7" s="13" t="str">
        <f>=Dashboard!E59</f>
        <v>Critical</v>
      </c>
      <c r="E7" s="13" t="str">
        <f>=Dashboard!F59</f>
        <v>Not Started</v>
      </c>
      <c r="F7" s="13" t="str">
        <f>=Dashboard!H59</f>
        <v>Day 4</v>
      </c>
      <c r="G7" s="13" t="str">
        <f>=Dashboard!I59</f>
        <v>None</v>
      </c>
      <c r="H7" s="13" t="str">
        <f>=Dashboard!J59</f>
        <v>Pending</v>
      </c>
      <c r="I7" s="6" t="str">
        <f>=Dashboard!L59</f>
        <v>Volatile RAM comparison model designed</v>
      </c>
    </row>
  </sheetData>
  <autoFilter ref="A2:I7"/>
  <mergeCells count="1">
    <mergeCell ref="A1:I1"/>
  </mergeCells>
  <conditionalFormatting sqref="E3:E7">
    <cfRule type="cellIs" dxfId="108" priority="1" operator="equal">
      <formula>"Completed"</formula>
    </cfRule>
    <cfRule type="cellIs" dxfId="109" priority="2" operator="equal">
      <formula>"In Progress"</formula>
    </cfRule>
    <cfRule type="cellIs" dxfId="110" priority="3" operator="equal">
      <formula>"Review"</formula>
    </cfRule>
    <cfRule type="cellIs" dxfId="111" priority="4" operator="equal">
      <formula>"Blocked"</formula>
    </cfRule>
    <cfRule type="cellIs" dxfId="112" priority="5" operator="equal">
      <formula>"Not Started"</formula>
    </cfRule>
  </conditionalFormatting>
  <conditionalFormatting sqref="D3:D7">
    <cfRule type="cellIs" dxfId="113" priority="6" operator="equal">
      <formula>"Critical"</formula>
    </cfRule>
    <cfRule type="cellIs" dxfId="114" priority="7" operator="equal">
      <formula>"High"</formula>
    </cfRule>
    <cfRule type="cellIs" dxfId="115" priority="8" operator="equal">
      <formula>"Medium"</formula>
    </cfRule>
    <cfRule type="cellIs" dxfId="116" priority="9" operator="equal">
      <formula>"Low"</formula>
    </cfRule>
  </conditionalFormatting>
  <dataValidations count="2">
    <dataValidation type="list" allowBlank="1" sqref="D3:D7">
      <formula1>"Critical,High,Medium,Low"</formula1>
    </dataValidation>
    <dataValidation type="list" allowBlank="1" sqref="E3:E7">
      <formula1>"Not Started,In Progress,Review,Completed,Blocked"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9" width="40" customWidth="1"/>
  </cols>
  <sheetData>
    <row r="1" ht="24" customHeight="1" spans="1:9" x14ac:dyDescent="0.25">
      <c r="A1" s="37" t="s">
        <v>313</v>
      </c>
      <c r="B1" s="37"/>
      <c r="C1" s="37"/>
      <c r="D1" s="37"/>
      <c r="E1" s="37"/>
      <c r="F1" s="37"/>
      <c r="G1" s="37"/>
      <c r="H1" s="37"/>
      <c r="I1" s="37"/>
    </row>
    <row r="2" ht="26" customHeight="1" spans="1:9" x14ac:dyDescent="0.25">
      <c r="A2" s="12" t="s">
        <v>39</v>
      </c>
      <c r="B2" s="12" t="s">
        <v>41</v>
      </c>
      <c r="C2" s="12" t="s">
        <v>42</v>
      </c>
      <c r="D2" s="12" t="s">
        <v>43</v>
      </c>
      <c r="E2" s="12" t="s">
        <v>44</v>
      </c>
      <c r="F2" s="12" t="s">
        <v>46</v>
      </c>
      <c r="G2" s="12" t="s">
        <v>47</v>
      </c>
      <c r="H2" s="12" t="s">
        <v>48</v>
      </c>
      <c r="I2" s="12" t="s">
        <v>50</v>
      </c>
    </row>
    <row r="3" spans="1:9" x14ac:dyDescent="0.25">
      <c r="A3" s="13" t="str">
        <f>=Dashboard!A60</f>
        <v>TASK-FR-001</v>
      </c>
      <c r="B3" s="6" t="str">
        <f>=Dashboard!C60</f>
        <v>Dataset Collection</v>
      </c>
      <c r="C3" s="6" t="str">
        <f>=Dashboard!D60</f>
        <v>Fadi Ahmed</v>
      </c>
      <c r="D3" s="13" t="str">
        <f>=Dashboard!E60</f>
        <v>Medium</v>
      </c>
      <c r="E3" s="13" t="str">
        <f>=Dashboard!F60</f>
        <v>Not Started</v>
      </c>
      <c r="F3" s="13" t="str">
        <f>=Dashboard!H60</f>
        <v>Day 4</v>
      </c>
      <c r="G3" s="13" t="str">
        <f>=Dashboard!I60</f>
        <v>None</v>
      </c>
      <c r="H3" s="13" t="str">
        <f>=Dashboard!J60</f>
        <v>Pending</v>
      </c>
      <c r="I3" s="6" t="str">
        <f>=Dashboard!L60</f>
        <v>Offline template protection standards set</v>
      </c>
    </row>
    <row r="4" spans="1:9" x14ac:dyDescent="0.25">
      <c r="A4" s="15" t="str">
        <f>=Dashboard!A61</f>
        <v>TASK-FR-002</v>
      </c>
      <c r="B4" s="9" t="str">
        <f>=Dashboard!C61</f>
        <v>Prototype Refinement</v>
      </c>
      <c r="C4" s="9" t="str">
        <f>=Dashboard!D61</f>
        <v>Fadi Ahmed</v>
      </c>
      <c r="D4" s="15" t="str">
        <f>=Dashboard!E61</f>
        <v>High</v>
      </c>
      <c r="E4" s="15" t="str">
        <f>=Dashboard!F61</f>
        <v>Not Started</v>
      </c>
      <c r="F4" s="15" t="str">
        <f>=Dashboard!H61</f>
        <v>Day 4</v>
      </c>
      <c r="G4" s="15" t="str">
        <f>=Dashboard!I61</f>
        <v>TASK-AI-005</v>
      </c>
      <c r="H4" s="15" t="str">
        <f>=Dashboard!J61</f>
        <v>Pending</v>
      </c>
      <c r="I4" s="9" t="str">
        <f>=Dashboard!L61</f>
        <v>Anti-spoofing test frameworks ready</v>
      </c>
    </row>
    <row r="5" spans="1:9" x14ac:dyDescent="0.25">
      <c r="A5" s="13" t="str">
        <f>=Dashboard!A62</f>
        <v>TASK-FR-003</v>
      </c>
      <c r="B5" s="6" t="str">
        <f>=Dashboard!C62</f>
        <v>Camera Integration Testing</v>
      </c>
      <c r="C5" s="6" t="str">
        <f>=Dashboard!D62</f>
        <v>Fadi Ahmed</v>
      </c>
      <c r="D5" s="13" t="str">
        <f>=Dashboard!E62</f>
        <v>Medium</v>
      </c>
      <c r="E5" s="13" t="str">
        <f>=Dashboard!F62</f>
        <v>Not Started</v>
      </c>
      <c r="F5" s="13" t="str">
        <f>=Dashboard!H62</f>
        <v>Day 4</v>
      </c>
      <c r="G5" s="13" t="str">
        <f>=Dashboard!I62</f>
        <v>None</v>
      </c>
      <c r="H5" s="13" t="str">
        <f>=Dashboard!J62</f>
        <v>Pending</v>
      </c>
      <c r="I5" s="6" t="str">
        <f>=Dashboard!L62</f>
        <v>Zero frame storage validation script written</v>
      </c>
    </row>
    <row r="6" spans="1:9" x14ac:dyDescent="0.25">
      <c r="A6" s="15" t="str">
        <f>=Dashboard!A63</f>
        <v>TASK-FR-004</v>
      </c>
      <c r="B6" s="9" t="str">
        <f>=Dashboard!C63</f>
        <v>Attendance Workflow Testing</v>
      </c>
      <c r="C6" s="9" t="str">
        <f>=Dashboard!D63</f>
        <v>Fadi Ahmed</v>
      </c>
      <c r="D6" s="15" t="str">
        <f>=Dashboard!E63</f>
        <v>High</v>
      </c>
      <c r="E6" s="15" t="str">
        <f>=Dashboard!F63</f>
        <v>Not Started</v>
      </c>
      <c r="F6" s="15" t="str">
        <f>=Dashboard!H63</f>
        <v>Day 5</v>
      </c>
      <c r="G6" s="15" t="str">
        <f>=Dashboard!I63</f>
        <v>TASK-FR-003</v>
      </c>
      <c r="H6" s="15" t="str">
        <f>=Dashboard!J63</f>
        <v>Pending</v>
      </c>
      <c r="I6" s="9" t="str">
        <f>=Dashboard!L63</f>
        <v>Consent constraints gating check template</v>
      </c>
    </row>
    <row r="7" spans="1:9" x14ac:dyDescent="0.25">
      <c r="A7" s="13" t="str">
        <f>=Dashboard!A64</f>
        <v>TASK-FR-005</v>
      </c>
      <c r="B7" s="6" t="str">
        <f>=Dashboard!C64</f>
        <v>Recognition Accuracy Testing</v>
      </c>
      <c r="C7" s="6" t="str">
        <f>=Dashboard!D64</f>
        <v>Fadi Ahmed</v>
      </c>
      <c r="D7" s="13" t="str">
        <f>=Dashboard!E64</f>
        <v>High</v>
      </c>
      <c r="E7" s="13" t="str">
        <f>=Dashboard!F64</f>
        <v>Not Started</v>
      </c>
      <c r="F7" s="13" t="str">
        <f>=Dashboard!H64</f>
        <v>Day 5</v>
      </c>
      <c r="G7" s="13" t="str">
        <f>=Dashboard!I64</f>
        <v>TASK-FR-002</v>
      </c>
      <c r="H7" s="13" t="str">
        <f>=Dashboard!J64</f>
        <v>Pending</v>
      </c>
      <c r="I7" s="6" t="str">
        <f>=Dashboard!L64</f>
        <v>Robustness audit report format ready</v>
      </c>
    </row>
    <row r="8" spans="1:9" x14ac:dyDescent="0.25">
      <c r="A8" s="15" t="str">
        <f>=Dashboard!A65</f>
        <v>TASK-FR-006</v>
      </c>
      <c r="B8" s="9" t="str">
        <f>=Dashboard!C65</f>
        <v>Cross-Browser Camera Testing</v>
      </c>
      <c r="C8" s="9" t="str">
        <f>=Dashboard!D65</f>
        <v>Fadi Ahmed</v>
      </c>
      <c r="D8" s="15" t="str">
        <f>=Dashboard!E65</f>
        <v>Medium</v>
      </c>
      <c r="E8" s="15" t="str">
        <f>=Dashboard!F65</f>
        <v>Not Started</v>
      </c>
      <c r="F8" s="15" t="str">
        <f>=Dashboard!H65</f>
        <v>Day 6</v>
      </c>
      <c r="G8" s="15" t="str">
        <f>=Dashboard!I65</f>
        <v>TASK-FR-003</v>
      </c>
      <c r="H8" s="15" t="str">
        <f>=Dashboard!J65</f>
        <v>Pending</v>
      </c>
      <c r="I8" s="9" t="str">
        <f>=Dashboard!L65</f>
        <v>Web permissions tests blueprint</v>
      </c>
    </row>
    <row r="9" spans="1:9" x14ac:dyDescent="0.25">
      <c r="A9" s="13" t="str">
        <f>=Dashboard!A66</f>
        <v>TASK-FR-007</v>
      </c>
      <c r="B9" s="6" t="str">
        <f>=Dashboard!C66</f>
        <v>System Integration Testing</v>
      </c>
      <c r="C9" s="6" t="str">
        <f>=Dashboard!D66</f>
        <v>Fadi Ahmed</v>
      </c>
      <c r="D9" s="13" t="str">
        <f>=Dashboard!E66</f>
        <v>High</v>
      </c>
      <c r="E9" s="13" t="str">
        <f>=Dashboard!F66</f>
        <v>Not Started</v>
      </c>
      <c r="F9" s="13" t="str">
        <f>=Dashboard!H66</f>
        <v>Day 6</v>
      </c>
      <c r="G9" s="13" t="str">
        <f>=Dashboard!I66</f>
        <v>TASK-FR-004</v>
      </c>
      <c r="H9" s="13" t="str">
        <f>=Dashboard!J66</f>
        <v>Pending</v>
      </c>
      <c r="I9" s="6" t="str">
        <f>=Dashboard!L66</f>
        <v>RBAC boundary check verified</v>
      </c>
    </row>
  </sheetData>
  <autoFilter ref="A2:I9"/>
  <mergeCells count="1">
    <mergeCell ref="A1:I1"/>
  </mergeCells>
  <conditionalFormatting sqref="E3:E9">
    <cfRule type="cellIs" dxfId="117" priority="1" operator="equal">
      <formula>"Completed"</formula>
    </cfRule>
    <cfRule type="cellIs" dxfId="118" priority="2" operator="equal">
      <formula>"In Progress"</formula>
    </cfRule>
    <cfRule type="cellIs" dxfId="119" priority="3" operator="equal">
      <formula>"Review"</formula>
    </cfRule>
    <cfRule type="cellIs" dxfId="120" priority="4" operator="equal">
      <formula>"Blocked"</formula>
    </cfRule>
    <cfRule type="cellIs" dxfId="121" priority="5" operator="equal">
      <formula>"Not Started"</formula>
    </cfRule>
  </conditionalFormatting>
  <conditionalFormatting sqref="D3:D9">
    <cfRule type="cellIs" dxfId="122" priority="6" operator="equal">
      <formula>"Critical"</formula>
    </cfRule>
    <cfRule type="cellIs" dxfId="123" priority="7" operator="equal">
      <formula>"High"</formula>
    </cfRule>
    <cfRule type="cellIs" dxfId="124" priority="8" operator="equal">
      <formula>"Medium"</formula>
    </cfRule>
    <cfRule type="cellIs" dxfId="125" priority="9" operator="equal">
      <formula>"Low"</formula>
    </cfRule>
  </conditionalFormatting>
  <dataValidations count="2">
    <dataValidation type="list" allowBlank="1" sqref="D3:D9">
      <formula1>"Critical,High,Medium,Low"</formula1>
    </dataValidation>
    <dataValidation type="list" allowBlank="1" sqref="E3:E9">
      <formula1>"Not Started,In Progress,Review,Completed,Blocked"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9" width="40" customWidth="1"/>
  </cols>
  <sheetData>
    <row r="1" ht="24" customHeight="1" spans="1:9" x14ac:dyDescent="0.25">
      <c r="A1" s="37" t="s">
        <v>314</v>
      </c>
      <c r="B1" s="37"/>
      <c r="C1" s="37"/>
      <c r="D1" s="37"/>
      <c r="E1" s="37"/>
      <c r="F1" s="37"/>
      <c r="G1" s="37"/>
      <c r="H1" s="37"/>
      <c r="I1" s="37"/>
    </row>
    <row r="2" ht="26" customHeight="1" spans="1:9" x14ac:dyDescent="0.25">
      <c r="A2" s="12" t="s">
        <v>39</v>
      </c>
      <c r="B2" s="12" t="s">
        <v>41</v>
      </c>
      <c r="C2" s="12" t="s">
        <v>42</v>
      </c>
      <c r="D2" s="12" t="s">
        <v>43</v>
      </c>
      <c r="E2" s="12" t="s">
        <v>44</v>
      </c>
      <c r="F2" s="12" t="s">
        <v>46</v>
      </c>
      <c r="G2" s="12" t="s">
        <v>47</v>
      </c>
      <c r="H2" s="12" t="s">
        <v>48</v>
      </c>
      <c r="I2" s="12" t="s">
        <v>50</v>
      </c>
    </row>
    <row r="3" spans="1:9" x14ac:dyDescent="0.25">
      <c r="A3" s="13" t="str">
        <f>=Dashboard!A67</f>
        <v>TASK-QA-001</v>
      </c>
      <c r="B3" s="6" t="str">
        <f>=Dashboard!C67</f>
        <v>Test Cases</v>
      </c>
      <c r="C3" s="6" t="str">
        <f>=Dashboard!D67</f>
        <v>Minha Palakkathodi</v>
      </c>
      <c r="D3" s="13" t="str">
        <f>=Dashboard!E67</f>
        <v>High</v>
      </c>
      <c r="E3" s="13" t="str">
        <f>=Dashboard!F67</f>
        <v>Completed</v>
      </c>
      <c r="F3" s="13" t="str">
        <f>=Dashboard!H67</f>
        <v>Day 2</v>
      </c>
      <c r="G3" s="13" t="str">
        <f>=Dashboard!I67</f>
        <v>None</v>
      </c>
      <c r="H3" s="13" t="str">
        <f>=Dashboard!J67</f>
        <v>Completed</v>
      </c>
      <c r="I3" s="6" t="str">
        <f>=Dashboard!L67</f>
        <v>Validation schedules and manual test logs created</v>
      </c>
    </row>
    <row r="4" spans="1:9" x14ac:dyDescent="0.25">
      <c r="A4" s="15" t="str">
        <f>=Dashboard!A68</f>
        <v>TASK-QA-002</v>
      </c>
      <c r="B4" s="9" t="str">
        <f>=Dashboard!C68</f>
        <v>Traceability Matrix</v>
      </c>
      <c r="C4" s="9" t="str">
        <f>=Dashboard!D68</f>
        <v>Minha Palakkathodi</v>
      </c>
      <c r="D4" s="15" t="str">
        <f>=Dashboard!E68</f>
        <v>High</v>
      </c>
      <c r="E4" s="15" t="str">
        <f>=Dashboard!F68</f>
        <v>Completed</v>
      </c>
      <c r="F4" s="15" t="str">
        <f>=Dashboard!H68</f>
        <v>Day 1</v>
      </c>
      <c r="G4" s="15" t="str">
        <f>=Dashboard!I68</f>
        <v>None</v>
      </c>
      <c r="H4" s="15" t="str">
        <f>=Dashboard!J68</f>
        <v>Completed</v>
      </c>
      <c r="I4" s="9" t="str">
        <f>=Dashboard!L68</f>
        <v>SRS mappings verified and formatted</v>
      </c>
    </row>
    <row r="5" spans="1:9" x14ac:dyDescent="0.25">
      <c r="A5" s="13" t="str">
        <f>=Dashboard!A69</f>
        <v>TASK-QA-003</v>
      </c>
      <c r="B5" s="6" t="str">
        <f>=Dashboard!C69</f>
        <v>QA Reports</v>
      </c>
      <c r="C5" s="6" t="str">
        <f>=Dashboard!D69</f>
        <v>Minha Palakkathodi</v>
      </c>
      <c r="D5" s="13" t="str">
        <f>=Dashboard!E69</f>
        <v>Medium</v>
      </c>
      <c r="E5" s="13" t="str">
        <f>=Dashboard!F69</f>
        <v>Not Started</v>
      </c>
      <c r="F5" s="13" t="str">
        <f>=Dashboard!H69</f>
        <v>Day 6</v>
      </c>
      <c r="G5" s="13" t="str">
        <f>=Dashboard!I69</f>
        <v>None</v>
      </c>
      <c r="H5" s="13" t="str">
        <f>=Dashboard!J69</f>
        <v>Pending</v>
      </c>
      <c r="I5" s="6" t="str">
        <f>=Dashboard!L69</f>
        <v>Sprint review reports templates prepared</v>
      </c>
    </row>
    <row r="6" spans="1:9" x14ac:dyDescent="0.25">
      <c r="A6" s="15" t="str">
        <f>=Dashboard!A70</f>
        <v>TASK-QA-004</v>
      </c>
      <c r="B6" s="9" t="str">
        <f>=Dashboard!C70</f>
        <v>UAT</v>
      </c>
      <c r="C6" s="9" t="str">
        <f>=Dashboard!D70</f>
        <v>Minha Palakkathodi</v>
      </c>
      <c r="D6" s="15" t="str">
        <f>=Dashboard!E70</f>
        <v>High</v>
      </c>
      <c r="E6" s="15" t="str">
        <f>=Dashboard!F70</f>
        <v>Not Started</v>
      </c>
      <c r="F6" s="15" t="str">
        <f>=Dashboard!H70</f>
        <v>Day 7</v>
      </c>
      <c r="G6" s="15" t="str">
        <f>=Dashboard!I70</f>
        <v>None</v>
      </c>
      <c r="H6" s="15" t="str">
        <f>=Dashboard!J70</f>
        <v>Pending</v>
      </c>
      <c r="I6" s="9" t="str">
        <f>=Dashboard!L70</f>
        <v>Acceptance signs template setup</v>
      </c>
    </row>
    <row r="7" spans="1:9" x14ac:dyDescent="0.25">
      <c r="A7" s="13" t="str">
        <f>=Dashboard!A71</f>
        <v>TASK-QA-005</v>
      </c>
      <c r="B7" s="6" t="str">
        <f>=Dashboard!C71</f>
        <v>Handover Documentation</v>
      </c>
      <c r="C7" s="6" t="str">
        <f>=Dashboard!D71</f>
        <v>Minha Palakkathodi</v>
      </c>
      <c r="D7" s="13" t="str">
        <f>=Dashboard!E71</f>
        <v>High</v>
      </c>
      <c r="E7" s="13" t="str">
        <f>=Dashboard!F71</f>
        <v>Not Started</v>
      </c>
      <c r="F7" s="13" t="str">
        <f>=Dashboard!H71</f>
        <v>Day 7</v>
      </c>
      <c r="G7" s="13" t="str">
        <f>=Dashboard!I71</f>
        <v>None</v>
      </c>
      <c r="H7" s="13" t="str">
        <f>=Dashboard!J71</f>
        <v>Pending</v>
      </c>
      <c r="I7" s="6" t="str">
        <f>=Dashboard!L71</f>
        <v>Official handoff portfolio templates drafted</v>
      </c>
    </row>
    <row r="8" spans="1:9" x14ac:dyDescent="0.25">
      <c r="A8" s="15" t="str">
        <f>=Dashboard!A72</f>
        <v>TASK-QA-006</v>
      </c>
      <c r="B8" s="9" t="str">
        <f>=Dashboard!C72</f>
        <v>Documentation Updates</v>
      </c>
      <c r="C8" s="9" t="str">
        <f>=Dashboard!D72</f>
        <v>Minha Palakkathodi</v>
      </c>
      <c r="D8" s="15" t="str">
        <f>=Dashboard!E72</f>
        <v>Medium</v>
      </c>
      <c r="E8" s="15" t="str">
        <f>=Dashboard!F72</f>
        <v>Not Started</v>
      </c>
      <c r="F8" s="15" t="str">
        <f>=Dashboard!H72</f>
        <v>Day 7</v>
      </c>
      <c r="G8" s="15" t="str">
        <f>=Dashboard!I72</f>
        <v>None</v>
      </c>
      <c r="H8" s="15" t="str">
        <f>=Dashboard!J72</f>
        <v>Pending</v>
      </c>
      <c r="I8" s="9" t="str">
        <f>=Dashboard!L72</f>
        <v>Final directory inventory check template</v>
      </c>
    </row>
  </sheetData>
  <autoFilter ref="A2:I8"/>
  <mergeCells count="1">
    <mergeCell ref="A1:I1"/>
  </mergeCells>
  <conditionalFormatting sqref="E3:E8">
    <cfRule type="cellIs" dxfId="126" priority="1" operator="equal">
      <formula>"Completed"</formula>
    </cfRule>
    <cfRule type="cellIs" dxfId="127" priority="2" operator="equal">
      <formula>"In Progress"</formula>
    </cfRule>
    <cfRule type="cellIs" dxfId="128" priority="3" operator="equal">
      <formula>"Review"</formula>
    </cfRule>
    <cfRule type="cellIs" dxfId="129" priority="4" operator="equal">
      <formula>"Blocked"</formula>
    </cfRule>
    <cfRule type="cellIs" dxfId="130" priority="5" operator="equal">
      <formula>"Not Started"</formula>
    </cfRule>
  </conditionalFormatting>
  <conditionalFormatting sqref="D3:D8">
    <cfRule type="cellIs" dxfId="131" priority="6" operator="equal">
      <formula>"Critical"</formula>
    </cfRule>
    <cfRule type="cellIs" dxfId="132" priority="7" operator="equal">
      <formula>"High"</formula>
    </cfRule>
    <cfRule type="cellIs" dxfId="133" priority="8" operator="equal">
      <formula>"Medium"</formula>
    </cfRule>
    <cfRule type="cellIs" dxfId="134" priority="9" operator="equal">
      <formula>"Low"</formula>
    </cfRule>
  </conditionalFormatting>
  <dataValidations count="2">
    <dataValidation type="list" allowBlank="1" sqref="D3:D8">
      <formula1>"Critical,High,Medium,Low"</formula1>
    </dataValidation>
    <dataValidation type="list" allowBlank="1" sqref="E3:E8">
      <formula1>"Not Started,In Progress,Review,Completed,Blocked"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9" width="40" customWidth="1"/>
  </cols>
  <sheetData>
    <row r="1" ht="24" customHeight="1" spans="1:9" x14ac:dyDescent="0.25">
      <c r="A1" s="37" t="s">
        <v>315</v>
      </c>
      <c r="B1" s="37"/>
      <c r="C1" s="37"/>
      <c r="D1" s="37"/>
      <c r="E1" s="37"/>
      <c r="F1" s="37"/>
      <c r="G1" s="37"/>
      <c r="H1" s="37"/>
      <c r="I1" s="37"/>
    </row>
    <row r="2" ht="26" customHeight="1" spans="1:9" x14ac:dyDescent="0.25">
      <c r="A2" s="12" t="s">
        <v>39</v>
      </c>
      <c r="B2" s="12" t="s">
        <v>41</v>
      </c>
      <c r="C2" s="12" t="s">
        <v>42</v>
      </c>
      <c r="D2" s="12" t="s">
        <v>43</v>
      </c>
      <c r="E2" s="12" t="s">
        <v>44</v>
      </c>
      <c r="F2" s="12" t="s">
        <v>46</v>
      </c>
      <c r="G2" s="12" t="s">
        <v>47</v>
      </c>
      <c r="H2" s="12" t="s">
        <v>48</v>
      </c>
      <c r="I2" s="12" t="s">
        <v>50</v>
      </c>
    </row>
    <row r="3" spans="1:9" x14ac:dyDescent="0.25">
      <c r="A3" s="13" t="str">
        <f>=Dashboard!A16</f>
        <v>TASK-INF-001</v>
      </c>
      <c r="B3" s="6" t="str">
        <f>=Dashboard!C16</f>
        <v>MongoDB Atlas Setup</v>
      </c>
      <c r="C3" s="6" t="str">
        <f>=Dashboard!D16</f>
        <v>Adithyan N</v>
      </c>
      <c r="D3" s="13" t="str">
        <f>=Dashboard!E16</f>
        <v>Critical</v>
      </c>
      <c r="E3" s="13" t="str">
        <f>=Dashboard!F16</f>
        <v>Completed</v>
      </c>
      <c r="F3" s="13" t="str">
        <f>=Dashboard!H16</f>
        <v>Sprint 0</v>
      </c>
      <c r="G3" s="13" t="str">
        <f>=Dashboard!I16</f>
        <v>None</v>
      </c>
      <c r="H3" s="13" t="str">
        <f>=Dashboard!J16</f>
        <v>Completed</v>
      </c>
      <c r="I3" s="6" t="str">
        <f>=Dashboard!L16</f>
        <v>Admin controls configured and database connection verified</v>
      </c>
    </row>
    <row r="4" spans="1:9" x14ac:dyDescent="0.25">
      <c r="A4" s="15" t="str">
        <f>=Dashboard!A17</f>
        <v>TASK-INF-002</v>
      </c>
      <c r="B4" s="9" t="str">
        <f>=Dashboard!C17</f>
        <v>Environment Configuration</v>
      </c>
      <c r="C4" s="9" t="str">
        <f>=Dashboard!D17</f>
        <v>Muhammad Sanish</v>
      </c>
      <c r="D4" s="15" t="str">
        <f>=Dashboard!E17</f>
        <v>High</v>
      </c>
      <c r="E4" s="15" t="str">
        <f>=Dashboard!F17</f>
        <v>Completed</v>
      </c>
      <c r="F4" s="15" t="str">
        <f>=Dashboard!H17</f>
        <v>Sprint 0</v>
      </c>
      <c r="G4" s="15" t="str">
        <f>=Dashboard!I17</f>
        <v>None</v>
      </c>
      <c r="H4" s="15" t="str">
        <f>=Dashboard!J17</f>
        <v>Completed</v>
      </c>
      <c r="I4" s="9" t="str">
        <f>=Dashboard!L17</f>
        <v>No secrets committed, configuration structure validated</v>
      </c>
    </row>
    <row r="5" spans="1:9" x14ac:dyDescent="0.25">
      <c r="A5" s="13" t="str">
        <f>=Dashboard!A18</f>
        <v>TASK-INF-003</v>
      </c>
      <c r="B5" s="6" t="str">
        <f>=Dashboard!C18</f>
        <v>Logging Infrastructure Setup</v>
      </c>
      <c r="C5" s="6" t="str">
        <f>=Dashboard!D18</f>
        <v>Muhammad Sanish</v>
      </c>
      <c r="D5" s="13" t="str">
        <f>=Dashboard!E18</f>
        <v>Medium</v>
      </c>
      <c r="E5" s="13" t="str">
        <f>=Dashboard!F18</f>
        <v>Completed</v>
      </c>
      <c r="F5" s="13" t="str">
        <f>=Dashboard!H18</f>
        <v>Day 1</v>
      </c>
      <c r="G5" s="13" t="str">
        <f>=Dashboard!I18</f>
        <v>TASK-INF-002</v>
      </c>
      <c r="H5" s="13" t="str">
        <f>=Dashboard!J18</f>
        <v>Completed</v>
      </c>
      <c r="I5" s="6" t="str">
        <f>=Dashboard!L18</f>
        <v>Sensitive data redacted in Winston streams</v>
      </c>
    </row>
    <row r="6" spans="1:9" x14ac:dyDescent="0.25">
      <c r="A6" s="15" t="str">
        <f>=Dashboard!A19</f>
        <v>TASK-INF-004</v>
      </c>
      <c r="B6" s="9" t="str">
        <f>=Dashboard!C19</f>
        <v>Deployment Environment Preparation</v>
      </c>
      <c r="C6" s="9" t="str">
        <f>=Dashboard!D19</f>
        <v>Adithyan N</v>
      </c>
      <c r="D6" s="15" t="str">
        <f>=Dashboard!E19</f>
        <v>Medium</v>
      </c>
      <c r="E6" s="15" t="str">
        <f>=Dashboard!F19</f>
        <v>Not Started</v>
      </c>
      <c r="F6" s="15" t="str">
        <f>=Dashboard!H19</f>
        <v>Day 7</v>
      </c>
      <c r="G6" s="15" t="str">
        <f>=Dashboard!I19</f>
        <v>None</v>
      </c>
      <c r="H6" s="15" t="str">
        <f>=Dashboard!J19</f>
        <v>Pending</v>
      </c>
      <c r="I6" s="9" t="str">
        <f>=Dashboard!L19</f>
        <v>Deployment scripts drafted, hosting environments initialized</v>
      </c>
    </row>
  </sheetData>
  <autoFilter ref="A2:I6"/>
  <mergeCells count="1">
    <mergeCell ref="A1:I1"/>
  </mergeCells>
  <conditionalFormatting sqref="E3:E6">
    <cfRule type="cellIs" dxfId="135" priority="1" operator="equal">
      <formula>"Completed"</formula>
    </cfRule>
    <cfRule type="cellIs" dxfId="136" priority="2" operator="equal">
      <formula>"In Progress"</formula>
    </cfRule>
    <cfRule type="cellIs" dxfId="137" priority="3" operator="equal">
      <formula>"Review"</formula>
    </cfRule>
    <cfRule type="cellIs" dxfId="138" priority="4" operator="equal">
      <formula>"Blocked"</formula>
    </cfRule>
    <cfRule type="cellIs" dxfId="139" priority="5" operator="equal">
      <formula>"Not Started"</formula>
    </cfRule>
  </conditionalFormatting>
  <conditionalFormatting sqref="D3:D6">
    <cfRule type="cellIs" dxfId="140" priority="6" operator="equal">
      <formula>"Critical"</formula>
    </cfRule>
    <cfRule type="cellIs" dxfId="141" priority="7" operator="equal">
      <formula>"High"</formula>
    </cfRule>
    <cfRule type="cellIs" dxfId="142" priority="8" operator="equal">
      <formula>"Medium"</formula>
    </cfRule>
    <cfRule type="cellIs" dxfId="143" priority="9" operator="equal">
      <formula>"Low"</formula>
    </cfRule>
  </conditionalFormatting>
  <dataValidations count="2">
    <dataValidation type="list" allowBlank="1" sqref="D3:D6">
      <formula1>"Critical,High,Medium,Low"</formula1>
    </dataValidation>
    <dataValidation type="list" allowBlank="1" sqref="E3:E6">
      <formula1>"Not Started,In Progress,Review,Completed,Blocked"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8" width="40" customWidth="1"/>
  </cols>
  <sheetData>
    <row r="1" ht="24" customHeight="1" spans="1:8" x14ac:dyDescent="0.25">
      <c r="A1" s="37" t="s">
        <v>316</v>
      </c>
      <c r="B1" s="37"/>
      <c r="C1" s="37"/>
      <c r="D1" s="37"/>
      <c r="E1" s="37"/>
      <c r="F1" s="37"/>
      <c r="G1" s="37"/>
      <c r="H1" s="37"/>
    </row>
    <row r="2" ht="26" customHeight="1" spans="1:8" x14ac:dyDescent="0.25">
      <c r="A2" s="12" t="s">
        <v>317</v>
      </c>
      <c r="B2" s="12" t="s">
        <v>318</v>
      </c>
      <c r="C2" s="12" t="s">
        <v>319</v>
      </c>
      <c r="D2" s="12" t="s">
        <v>320</v>
      </c>
      <c r="E2" s="12" t="s">
        <v>321</v>
      </c>
      <c r="F2" s="12" t="s">
        <v>44</v>
      </c>
      <c r="G2" s="12" t="s">
        <v>42</v>
      </c>
      <c r="H2" s="12" t="s">
        <v>322</v>
      </c>
    </row>
    <row r="3" spans="1:8" x14ac:dyDescent="0.25">
      <c r="A3" s="13" t="s">
        <v>323</v>
      </c>
      <c r="B3" s="6" t="s">
        <v>20</v>
      </c>
      <c r="C3" s="6" t="s">
        <v>26</v>
      </c>
      <c r="D3" s="6" t="s">
        <v>324</v>
      </c>
      <c r="E3" s="6" t="s">
        <v>325</v>
      </c>
      <c r="F3" s="13" t="s">
        <v>12</v>
      </c>
      <c r="G3" s="13" t="s">
        <v>28</v>
      </c>
      <c r="H3" s="6" t="s">
        <v>326</v>
      </c>
    </row>
    <row r="4" spans="1:8" x14ac:dyDescent="0.25">
      <c r="A4" s="15" t="s">
        <v>327</v>
      </c>
      <c r="B4" s="9" t="s">
        <v>23</v>
      </c>
      <c r="C4" s="9" t="s">
        <v>20</v>
      </c>
      <c r="D4" s="9" t="s">
        <v>328</v>
      </c>
      <c r="E4" s="9" t="s">
        <v>329</v>
      </c>
      <c r="F4" s="15" t="s">
        <v>92</v>
      </c>
      <c r="G4" s="15" t="s">
        <v>22</v>
      </c>
      <c r="H4" s="9" t="s">
        <v>330</v>
      </c>
    </row>
    <row r="5" spans="1:8" x14ac:dyDescent="0.25">
      <c r="A5" s="13" t="s">
        <v>331</v>
      </c>
      <c r="B5" s="6" t="s">
        <v>20</v>
      </c>
      <c r="C5" s="6" t="s">
        <v>332</v>
      </c>
      <c r="D5" s="6" t="s">
        <v>333</v>
      </c>
      <c r="E5" s="6" t="s">
        <v>334</v>
      </c>
      <c r="F5" s="13" t="s">
        <v>67</v>
      </c>
      <c r="G5" s="13" t="s">
        <v>28</v>
      </c>
      <c r="H5" s="6" t="s">
        <v>335</v>
      </c>
    </row>
    <row r="6" spans="1:8" x14ac:dyDescent="0.25">
      <c r="A6" s="15" t="s">
        <v>336</v>
      </c>
      <c r="B6" s="9" t="s">
        <v>20</v>
      </c>
      <c r="C6" s="9" t="s">
        <v>332</v>
      </c>
      <c r="D6" s="9" t="s">
        <v>337</v>
      </c>
      <c r="E6" s="9" t="s">
        <v>338</v>
      </c>
      <c r="F6" s="15" t="s">
        <v>67</v>
      </c>
      <c r="G6" s="15" t="s">
        <v>28</v>
      </c>
      <c r="H6" s="9" t="s">
        <v>339</v>
      </c>
    </row>
    <row r="7" spans="1:8" x14ac:dyDescent="0.25">
      <c r="A7" s="13" t="s">
        <v>340</v>
      </c>
      <c r="B7" s="6" t="s">
        <v>23</v>
      </c>
      <c r="C7" s="6" t="s">
        <v>332</v>
      </c>
      <c r="D7" s="6" t="s">
        <v>341</v>
      </c>
      <c r="E7" s="6" t="s">
        <v>342</v>
      </c>
      <c r="F7" s="13" t="s">
        <v>67</v>
      </c>
      <c r="G7" s="13" t="s">
        <v>22</v>
      </c>
      <c r="H7" s="6" t="s">
        <v>343</v>
      </c>
    </row>
    <row r="8" spans="1:8" x14ac:dyDescent="0.25">
      <c r="A8" s="15" t="s">
        <v>344</v>
      </c>
      <c r="B8" s="9" t="s">
        <v>26</v>
      </c>
      <c r="C8" s="9" t="s">
        <v>332</v>
      </c>
      <c r="D8" s="9" t="s">
        <v>345</v>
      </c>
      <c r="E8" s="9" t="s">
        <v>346</v>
      </c>
      <c r="F8" s="15" t="s">
        <v>67</v>
      </c>
      <c r="G8" s="15" t="s">
        <v>25</v>
      </c>
      <c r="H8" s="9" t="s">
        <v>347</v>
      </c>
    </row>
  </sheetData>
  <autoFilter ref="A2:H8"/>
  <mergeCells count="1">
    <mergeCell ref="A1:H1"/>
  </mergeCells>
  <conditionalFormatting sqref="F3:F8">
    <cfRule type="cellIs" dxfId="144" priority="1" operator="equal">
      <formula>"Completed"</formula>
    </cfRule>
    <cfRule type="cellIs" dxfId="145" priority="2" operator="equal">
      <formula>"In Progress"</formula>
    </cfRule>
    <cfRule type="cellIs" dxfId="146" priority="3" operator="equal">
      <formula>"Review"</formula>
    </cfRule>
    <cfRule type="cellIs" dxfId="147" priority="4" operator="equal">
      <formula>"Blocked"</formula>
    </cfRule>
    <cfRule type="cellIs" dxfId="148" priority="5" operator="equal">
      <formula>"Not Started"</formula>
    </cfRule>
  </conditionalFormatting>
  <dataValidations count="1">
    <dataValidation type="list" allowBlank="1" sqref="F3:F8">
      <formula1>"Not Started,In Progress,Review,Completed,Blocked"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3" width="40" customWidth="1"/>
  </cols>
  <sheetData>
    <row r="1" ht="24" customHeight="1" spans="1:13" x14ac:dyDescent="0.25">
      <c r="A1" s="37" t="s">
        <v>348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ht="26" customHeight="1" spans="1:13" x14ac:dyDescent="0.25">
      <c r="A2" s="12" t="s">
        <v>349</v>
      </c>
      <c r="B2" s="12" t="s">
        <v>350</v>
      </c>
      <c r="C2" s="12" t="s">
        <v>40</v>
      </c>
      <c r="D2" s="12" t="s">
        <v>351</v>
      </c>
      <c r="E2" s="12" t="s">
        <v>352</v>
      </c>
      <c r="F2" s="12" t="s">
        <v>43</v>
      </c>
      <c r="G2" s="12" t="s">
        <v>44</v>
      </c>
      <c r="H2" s="12" t="s">
        <v>42</v>
      </c>
      <c r="I2" s="12" t="s">
        <v>353</v>
      </c>
      <c r="J2" s="12" t="s">
        <v>354</v>
      </c>
      <c r="K2" s="12" t="s">
        <v>355</v>
      </c>
      <c r="L2" s="12" t="s">
        <v>356</v>
      </c>
      <c r="M2" s="12" t="s">
        <v>357</v>
      </c>
    </row>
    <row r="3" spans="1:13" x14ac:dyDescent="0.25">
      <c r="A3" s="9" t="s">
        <v>358</v>
      </c>
      <c r="B3" s="9" t="s">
        <v>359</v>
      </c>
      <c r="C3" s="9" t="s">
        <v>23</v>
      </c>
      <c r="D3" s="9" t="s">
        <v>360</v>
      </c>
      <c r="E3" s="9" t="s">
        <v>59</v>
      </c>
      <c r="F3" s="9" t="s">
        <v>59</v>
      </c>
      <c r="G3" s="9" t="s">
        <v>92</v>
      </c>
      <c r="H3" s="9" t="s">
        <v>22</v>
      </c>
      <c r="I3" s="9" t="s">
        <v>19</v>
      </c>
      <c r="J3" s="9" t="s">
        <v>361</v>
      </c>
      <c r="K3" s="9" t="s">
        <v>239</v>
      </c>
      <c r="L3" s="9" t="s">
        <v>362</v>
      </c>
      <c r="M3" s="9" t="s">
        <v>363</v>
      </c>
    </row>
    <row r="4" spans="1:13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spans="1:13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1:13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spans="1:13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3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13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1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3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1:1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spans="1:13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pans="1:13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3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1:13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13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</sheetData>
  <autoFilter ref="A2:M30"/>
  <mergeCells count="1">
    <mergeCell ref="A1:M1"/>
  </mergeCells>
  <conditionalFormatting sqref="G3:G30">
    <cfRule type="cellIs" dxfId="149" priority="1" operator="equal">
      <formula>"Completed"</formula>
    </cfRule>
    <cfRule type="cellIs" dxfId="150" priority="2" operator="equal">
      <formula>"In Progress"</formula>
    </cfRule>
    <cfRule type="cellIs" dxfId="151" priority="3" operator="equal">
      <formula>"Review"</formula>
    </cfRule>
    <cfRule type="cellIs" dxfId="152" priority="4" operator="equal">
      <formula>"Blocked"</formula>
    </cfRule>
    <cfRule type="cellIs" dxfId="153" priority="5" operator="equal">
      <formula>"Not Started"</formula>
    </cfRule>
  </conditionalFormatting>
  <conditionalFormatting sqref="E3:E30">
    <cfRule type="cellIs" dxfId="154" priority="6" operator="equal">
      <formula>"Critical"</formula>
    </cfRule>
    <cfRule type="cellIs" dxfId="155" priority="7" operator="equal">
      <formula>"High"</formula>
    </cfRule>
    <cfRule type="cellIs" dxfId="156" priority="8" operator="equal">
      <formula>"Medium"</formula>
    </cfRule>
    <cfRule type="cellIs" dxfId="157" priority="9" operator="equal">
      <formula>"Low"</formula>
    </cfRule>
  </conditionalFormatting>
  <dataValidations count="4">
    <dataValidation type="list" allowBlank="1" sqref="E10:F30">
      <formula1>"Critical,High,Medium,Low"</formula1>
    </dataValidation>
    <dataValidation type="list" allowBlank="1" sqref="E3:F30">
      <formula1>"Critical,High,Medium,Low"</formula1>
    </dataValidation>
    <dataValidation type="list" allowBlank="1" sqref="G10:G30">
      <formula1>"New,Assigned,In Progress,Ready for Test,Verified,Closed"</formula1>
    </dataValidation>
    <dataValidation type="list" allowBlank="1" sqref="G3:G30">
      <formula1>"New,Assigned,In Progress,Ready for Test,Verified,Closed"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6" width="40" customWidth="1"/>
  </cols>
  <sheetData>
    <row r="1" ht="24" customHeight="1" spans="1:6" x14ac:dyDescent="0.25">
      <c r="A1" s="37" t="s">
        <v>364</v>
      </c>
      <c r="B1" s="37"/>
      <c r="C1" s="37"/>
      <c r="D1" s="37"/>
      <c r="E1" s="37"/>
      <c r="F1" s="37"/>
    </row>
    <row r="2" ht="26" customHeight="1" spans="1:6" x14ac:dyDescent="0.25">
      <c r="A2" s="12" t="s">
        <v>365</v>
      </c>
      <c r="B2" s="12" t="s">
        <v>366</v>
      </c>
      <c r="C2" s="12" t="s">
        <v>367</v>
      </c>
      <c r="D2" s="12" t="s">
        <v>44</v>
      </c>
      <c r="E2" s="12" t="s">
        <v>368</v>
      </c>
      <c r="F2" s="12" t="s">
        <v>369</v>
      </c>
    </row>
    <row r="3" spans="1:6" x14ac:dyDescent="0.25">
      <c r="A3" s="13" t="s">
        <v>370</v>
      </c>
      <c r="B3" s="6" t="s">
        <v>371</v>
      </c>
      <c r="C3" s="6" t="s">
        <v>372</v>
      </c>
      <c r="D3" s="13" t="s">
        <v>12</v>
      </c>
      <c r="E3" s="13" t="s">
        <v>22</v>
      </c>
      <c r="F3" s="13" t="s">
        <v>21</v>
      </c>
    </row>
    <row r="4" spans="1:6" x14ac:dyDescent="0.25">
      <c r="A4" s="15" t="s">
        <v>373</v>
      </c>
      <c r="B4" s="9" t="s">
        <v>374</v>
      </c>
      <c r="C4" s="9" t="s">
        <v>375</v>
      </c>
      <c r="D4" s="15" t="s">
        <v>12</v>
      </c>
      <c r="E4" s="15" t="s">
        <v>22</v>
      </c>
      <c r="F4" s="15" t="s">
        <v>27</v>
      </c>
    </row>
    <row r="5" spans="1:6" x14ac:dyDescent="0.25">
      <c r="A5" s="13" t="s">
        <v>376</v>
      </c>
      <c r="B5" s="6" t="s">
        <v>377</v>
      </c>
      <c r="C5" s="6" t="s">
        <v>378</v>
      </c>
      <c r="D5" s="13" t="s">
        <v>12</v>
      </c>
      <c r="E5" s="13" t="s">
        <v>22</v>
      </c>
      <c r="F5" s="13" t="s">
        <v>27</v>
      </c>
    </row>
    <row r="6" spans="1:6" x14ac:dyDescent="0.25">
      <c r="A6" s="15" t="s">
        <v>379</v>
      </c>
      <c r="B6" s="9" t="s">
        <v>380</v>
      </c>
      <c r="C6" s="9" t="s">
        <v>381</v>
      </c>
      <c r="D6" s="15" t="s">
        <v>92</v>
      </c>
      <c r="E6" s="15" t="s">
        <v>22</v>
      </c>
      <c r="F6" s="15" t="s">
        <v>30</v>
      </c>
    </row>
    <row r="7" spans="1:6" x14ac:dyDescent="0.25">
      <c r="A7" s="13" t="s">
        <v>382</v>
      </c>
      <c r="B7" s="6" t="s">
        <v>383</v>
      </c>
      <c r="C7" s="6" t="s">
        <v>384</v>
      </c>
      <c r="D7" s="13" t="s">
        <v>67</v>
      </c>
      <c r="E7" s="13" t="s">
        <v>22</v>
      </c>
      <c r="F7" s="13" t="s">
        <v>30</v>
      </c>
    </row>
    <row r="8" spans="1:6" x14ac:dyDescent="0.25">
      <c r="A8" s="15" t="s">
        <v>385</v>
      </c>
      <c r="B8" s="9" t="s">
        <v>386</v>
      </c>
      <c r="C8" s="9" t="s">
        <v>387</v>
      </c>
      <c r="D8" s="15" t="s">
        <v>67</v>
      </c>
      <c r="E8" s="15" t="s">
        <v>22</v>
      </c>
      <c r="F8" s="15" t="s">
        <v>30</v>
      </c>
    </row>
    <row r="9" spans="1:6" x14ac:dyDescent="0.25">
      <c r="A9" s="13" t="s">
        <v>388</v>
      </c>
      <c r="B9" s="6" t="s">
        <v>389</v>
      </c>
      <c r="C9" s="6" t="s">
        <v>390</v>
      </c>
      <c r="D9" s="13" t="s">
        <v>67</v>
      </c>
      <c r="E9" s="13" t="s">
        <v>22</v>
      </c>
      <c r="F9" s="13" t="s">
        <v>33</v>
      </c>
    </row>
    <row r="10" spans="1:6" x14ac:dyDescent="0.25">
      <c r="A10" s="15" t="s">
        <v>391</v>
      </c>
      <c r="B10" s="9" t="s">
        <v>392</v>
      </c>
      <c r="C10" s="9" t="s">
        <v>393</v>
      </c>
      <c r="D10" s="15" t="s">
        <v>67</v>
      </c>
      <c r="E10" s="15" t="s">
        <v>22</v>
      </c>
      <c r="F10" s="15" t="s">
        <v>33</v>
      </c>
    </row>
    <row r="11" spans="1:6" x14ac:dyDescent="0.25">
      <c r="A11" s="13" t="s">
        <v>394</v>
      </c>
      <c r="B11" s="6" t="s">
        <v>395</v>
      </c>
      <c r="C11" s="6" t="s">
        <v>396</v>
      </c>
      <c r="D11" s="13" t="s">
        <v>67</v>
      </c>
      <c r="E11" s="13" t="s">
        <v>22</v>
      </c>
      <c r="F11" s="13" t="s">
        <v>36</v>
      </c>
    </row>
    <row r="12" spans="1:6" x14ac:dyDescent="0.25">
      <c r="A12" s="15" t="s">
        <v>397</v>
      </c>
      <c r="B12" s="9" t="s">
        <v>398</v>
      </c>
      <c r="C12" s="9" t="s">
        <v>399</v>
      </c>
      <c r="D12" s="15" t="s">
        <v>67</v>
      </c>
      <c r="E12" s="15" t="s">
        <v>22</v>
      </c>
      <c r="F12" s="15" t="s">
        <v>38</v>
      </c>
    </row>
    <row r="13" spans="1:6" x14ac:dyDescent="0.25">
      <c r="A13" s="13" t="s">
        <v>400</v>
      </c>
      <c r="B13" s="6" t="s">
        <v>401</v>
      </c>
      <c r="C13" s="6" t="s">
        <v>402</v>
      </c>
      <c r="D13" s="13" t="s">
        <v>67</v>
      </c>
      <c r="E13" s="13" t="s">
        <v>22</v>
      </c>
      <c r="F13" s="13" t="s">
        <v>38</v>
      </c>
    </row>
    <row r="14" spans="1:6" x14ac:dyDescent="0.25">
      <c r="A14" s="15" t="s">
        <v>403</v>
      </c>
      <c r="B14" s="9" t="s">
        <v>404</v>
      </c>
      <c r="C14" s="9" t="s">
        <v>405</v>
      </c>
      <c r="D14" s="15" t="s">
        <v>67</v>
      </c>
      <c r="E14" s="15" t="s">
        <v>22</v>
      </c>
      <c r="F14" s="15" t="s">
        <v>51</v>
      </c>
    </row>
  </sheetData>
  <autoFilter ref="A2:F14"/>
  <mergeCells count="1">
    <mergeCell ref="A1:F1"/>
  </mergeCells>
  <conditionalFormatting sqref="D3:D14">
    <cfRule type="cellIs" dxfId="158" priority="1" operator="equal">
      <formula>"Completed"</formula>
    </cfRule>
    <cfRule type="cellIs" dxfId="159" priority="2" operator="equal">
      <formula>"In Progress"</formula>
    </cfRule>
    <cfRule type="cellIs" dxfId="160" priority="3" operator="equal">
      <formula>"Review"</formula>
    </cfRule>
    <cfRule type="cellIs" dxfId="161" priority="4" operator="equal">
      <formula>"Blocked"</formula>
    </cfRule>
    <cfRule type="cellIs" dxfId="162" priority="5" operator="equal">
      <formula>"Not Started"</formula>
    </cfRule>
  </conditionalFormatting>
  <dataValidations count="2">
    <dataValidation type="list" allowBlank="1" sqref="D10:D14">
      <formula1>"Not Started,In Progress,Review,Completed,Blocked"</formula1>
    </dataValidation>
    <dataValidation type="list" allowBlank="1" sqref="D3:D14">
      <formula1>"Not Started,In Progress,Review,Completed,Blocked"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6" width="40" customWidth="1"/>
  </cols>
  <sheetData>
    <row r="1" ht="24" customHeight="1" spans="1:6" x14ac:dyDescent="0.25">
      <c r="A1" s="37" t="s">
        <v>406</v>
      </c>
      <c r="B1" s="37"/>
      <c r="C1" s="37"/>
      <c r="D1" s="37"/>
      <c r="E1" s="37"/>
      <c r="F1" s="37"/>
    </row>
    <row r="2" ht="26" customHeight="1" spans="1:6" x14ac:dyDescent="0.25">
      <c r="A2" s="12" t="s">
        <v>407</v>
      </c>
      <c r="B2" s="12" t="s">
        <v>10</v>
      </c>
      <c r="C2" s="12" t="s">
        <v>408</v>
      </c>
      <c r="D2" s="12" t="s">
        <v>409</v>
      </c>
      <c r="E2" s="12" t="s">
        <v>410</v>
      </c>
      <c r="F2" s="12" t="s">
        <v>411</v>
      </c>
    </row>
    <row r="3" spans="1:6" x14ac:dyDescent="0.25">
      <c r="A3" s="13" t="s">
        <v>361</v>
      </c>
      <c r="B3" s="13" t="s">
        <v>19</v>
      </c>
      <c r="C3" s="6" t="s">
        <v>412</v>
      </c>
      <c r="D3" s="6" t="s">
        <v>413</v>
      </c>
      <c r="E3" s="6" t="s">
        <v>55</v>
      </c>
      <c r="F3" s="13" t="s">
        <v>245</v>
      </c>
    </row>
    <row r="4" spans="1:6" x14ac:dyDescent="0.25">
      <c r="A4" s="15" t="s">
        <v>361</v>
      </c>
      <c r="B4" s="15" t="s">
        <v>22</v>
      </c>
      <c r="C4" s="9" t="s">
        <v>412</v>
      </c>
      <c r="D4" s="9" t="s">
        <v>413</v>
      </c>
      <c r="E4" s="9" t="s">
        <v>55</v>
      </c>
      <c r="F4" s="15" t="s">
        <v>245</v>
      </c>
    </row>
    <row r="5" spans="1:6" x14ac:dyDescent="0.25">
      <c r="A5" s="13" t="s">
        <v>361</v>
      </c>
      <c r="B5" s="13" t="s">
        <v>25</v>
      </c>
      <c r="C5" s="6" t="s">
        <v>412</v>
      </c>
      <c r="D5" s="6" t="s">
        <v>413</v>
      </c>
      <c r="E5" s="6" t="s">
        <v>55</v>
      </c>
      <c r="F5" s="13" t="s">
        <v>245</v>
      </c>
    </row>
    <row r="6" spans="1:6" x14ac:dyDescent="0.25">
      <c r="A6" s="15" t="s">
        <v>361</v>
      </c>
      <c r="B6" s="15" t="s">
        <v>28</v>
      </c>
      <c r="C6" s="9" t="s">
        <v>412</v>
      </c>
      <c r="D6" s="9" t="s">
        <v>413</v>
      </c>
      <c r="E6" s="9" t="s">
        <v>55</v>
      </c>
      <c r="F6" s="15" t="s">
        <v>245</v>
      </c>
    </row>
    <row r="7" spans="1:6" x14ac:dyDescent="0.25">
      <c r="A7" s="13" t="s">
        <v>361</v>
      </c>
      <c r="B7" s="13" t="s">
        <v>31</v>
      </c>
      <c r="C7" s="6" t="s">
        <v>412</v>
      </c>
      <c r="D7" s="6" t="s">
        <v>413</v>
      </c>
      <c r="E7" s="6" t="s">
        <v>55</v>
      </c>
      <c r="F7" s="13" t="s">
        <v>245</v>
      </c>
    </row>
    <row r="8" spans="1:6" x14ac:dyDescent="0.25">
      <c r="A8" s="15" t="s">
        <v>361</v>
      </c>
      <c r="B8" s="15" t="s">
        <v>34</v>
      </c>
      <c r="C8" s="9" t="s">
        <v>412</v>
      </c>
      <c r="D8" s="9" t="s">
        <v>413</v>
      </c>
      <c r="E8" s="9" t="s">
        <v>55</v>
      </c>
      <c r="F8" s="15" t="s">
        <v>245</v>
      </c>
    </row>
  </sheetData>
  <autoFilter ref="A2:F100"/>
  <mergeCells count="1">
    <mergeCell ref="A1:F1"/>
  </mergeCells>
  <dataValidations count="1">
    <dataValidation type="list" allowBlank="1" sqref="F3:F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6" width="40" customWidth="1"/>
  </cols>
  <sheetData>
    <row r="1" ht="24" customHeight="1" spans="1:6" x14ac:dyDescent="0.25">
      <c r="A1" s="37" t="s">
        <v>414</v>
      </c>
      <c r="B1" s="37"/>
      <c r="C1" s="37"/>
      <c r="D1" s="37"/>
      <c r="E1" s="37"/>
      <c r="F1" s="37"/>
    </row>
    <row r="2" ht="26" customHeight="1" spans="1:6" x14ac:dyDescent="0.25">
      <c r="A2" s="12" t="s">
        <v>10</v>
      </c>
      <c r="B2" s="12" t="s">
        <v>11</v>
      </c>
      <c r="C2" s="12" t="s">
        <v>12</v>
      </c>
      <c r="D2" s="12" t="s">
        <v>13</v>
      </c>
      <c r="E2" s="12" t="s">
        <v>14</v>
      </c>
      <c r="F2" s="12" t="s">
        <v>15</v>
      </c>
    </row>
    <row r="3" spans="1:6" x14ac:dyDescent="0.25">
      <c r="A3" s="6" t="str">
        <f>=Dashboard!A8</f>
        <v>Minha Palakkathodi</v>
      </c>
      <c r="B3" s="13">
        <f>=Dashboard!B8</f>
        <v>6</v>
      </c>
      <c r="C3" s="13">
        <f>=Dashboard!C8</f>
        <v>2</v>
      </c>
      <c r="D3" s="13">
        <f>=Dashboard!D8</f>
        <v>4</v>
      </c>
      <c r="E3" s="13">
        <f>=Dashboard!E8</f>
        <v>0</v>
      </c>
      <c r="F3" s="14">
        <f>=Dashboard!F8</f>
        <v>0.3333333333333333</v>
      </c>
    </row>
    <row r="4" spans="1:6" x14ac:dyDescent="0.25">
      <c r="A4" s="9" t="str">
        <f>=Dashboard!A9</f>
        <v>Adithyan N</v>
      </c>
      <c r="B4" s="15">
        <f>=Dashboard!B9</f>
        <v>20</v>
      </c>
      <c r="C4" s="15">
        <f>=Dashboard!C9</f>
        <v>8</v>
      </c>
      <c r="D4" s="15">
        <f>=Dashboard!D9</f>
        <v>12</v>
      </c>
      <c r="E4" s="15">
        <f>=Dashboard!E9</f>
        <v>0</v>
      </c>
      <c r="F4" s="16">
        <f>=Dashboard!F9</f>
        <v>0.4</v>
      </c>
    </row>
    <row r="5" spans="1:6" x14ac:dyDescent="0.25">
      <c r="A5" s="6" t="str">
        <f>=Dashboard!A10</f>
        <v>Fathima Hana</v>
      </c>
      <c r="B5" s="13">
        <f>=Dashboard!B10</f>
        <v>6</v>
      </c>
      <c r="C5" s="13">
        <f>=Dashboard!C10</f>
        <v>4</v>
      </c>
      <c r="D5" s="13">
        <f>=Dashboard!D10</f>
        <v>2</v>
      </c>
      <c r="E5" s="13">
        <f>=Dashboard!E10</f>
        <v>0</v>
      </c>
      <c r="F5" s="14">
        <f>=Dashboard!F10</f>
        <v>0.6666666666666666</v>
      </c>
    </row>
    <row r="6" spans="1:6" x14ac:dyDescent="0.25">
      <c r="A6" s="9" t="str">
        <f>=Dashboard!A11</f>
        <v>Muhammad Sanish</v>
      </c>
      <c r="B6" s="15">
        <f>=Dashboard!B11</f>
        <v>13</v>
      </c>
      <c r="C6" s="15">
        <f>=Dashboard!C11</f>
        <v>5</v>
      </c>
      <c r="D6" s="15">
        <f>=Dashboard!D11</f>
        <v>8</v>
      </c>
      <c r="E6" s="15">
        <f>=Dashboard!E11</f>
        <v>0</v>
      </c>
      <c r="F6" s="16">
        <f>=Dashboard!F11</f>
        <v>0.38461538461538464</v>
      </c>
    </row>
    <row r="7" spans="1:6" x14ac:dyDescent="0.25">
      <c r="A7" s="6" t="str">
        <f>=Dashboard!A12</f>
        <v>Fadi Ahmed</v>
      </c>
      <c r="B7" s="13">
        <f>=Dashboard!B12</f>
        <v>7</v>
      </c>
      <c r="C7" s="13">
        <f>=Dashboard!C12</f>
        <v>0</v>
      </c>
      <c r="D7" s="13">
        <f>=Dashboard!D12</f>
        <v>7</v>
      </c>
      <c r="E7" s="13">
        <f>=Dashboard!E12</f>
        <v>0</v>
      </c>
      <c r="F7" s="14">
        <f>=Dashboard!F12</f>
        <v>0</v>
      </c>
    </row>
    <row r="8" spans="1:6" x14ac:dyDescent="0.25">
      <c r="A8" s="9" t="str">
        <f>=Dashboard!A13</f>
        <v>Muhammed Sadik KT</v>
      </c>
      <c r="B8" s="15">
        <f>=Dashboard!B13</f>
        <v>5</v>
      </c>
      <c r="C8" s="15">
        <f>=Dashboard!C13</f>
        <v>0</v>
      </c>
      <c r="D8" s="15">
        <f>=Dashboard!D13</f>
        <v>5</v>
      </c>
      <c r="E8" s="15">
        <f>=Dashboard!E13</f>
        <v>0</v>
      </c>
      <c r="F8" s="16">
        <f>=Dashboard!F13</f>
        <v>0</v>
      </c>
    </row>
  </sheetData>
  <autoFilter ref="A2:F8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37" customWidth="1"/>
    <col min="4" max="4" width="40" customWidth="1"/>
    <col min="5" max="6" width="37" customWidth="1"/>
  </cols>
  <sheetData>
    <row r="1" ht="24" customHeight="1" spans="1:6" x14ac:dyDescent="0.25">
      <c r="A1" s="37" t="s">
        <v>415</v>
      </c>
      <c r="B1" s="37"/>
      <c r="C1" s="37"/>
      <c r="D1" s="37"/>
      <c r="E1" s="37"/>
      <c r="F1" s="37"/>
    </row>
    <row r="2" ht="26" customHeight="1" spans="1:6" x14ac:dyDescent="0.25">
      <c r="A2" s="12" t="s">
        <v>416</v>
      </c>
      <c r="B2" s="12" t="s">
        <v>417</v>
      </c>
      <c r="C2" s="12" t="s">
        <v>418</v>
      </c>
      <c r="D2" s="12" t="s">
        <v>419</v>
      </c>
      <c r="E2" s="12" t="s">
        <v>44</v>
      </c>
      <c r="F2" s="12" t="s">
        <v>420</v>
      </c>
    </row>
    <row r="3" spans="1:6" x14ac:dyDescent="0.25">
      <c r="A3" s="13" t="s">
        <v>421</v>
      </c>
      <c r="B3" s="13" t="s">
        <v>422</v>
      </c>
      <c r="C3" s="13" t="s">
        <v>423</v>
      </c>
      <c r="D3" s="6" t="s">
        <v>424</v>
      </c>
      <c r="E3" s="13" t="s">
        <v>425</v>
      </c>
      <c r="F3" s="13" t="s">
        <v>54</v>
      </c>
    </row>
    <row r="4" spans="1:6" x14ac:dyDescent="0.25">
      <c r="A4" s="15" t="s">
        <v>426</v>
      </c>
      <c r="B4" s="15" t="s">
        <v>423</v>
      </c>
      <c r="C4" s="15" t="s">
        <v>427</v>
      </c>
      <c r="D4" s="9" t="s">
        <v>428</v>
      </c>
      <c r="E4" s="15" t="s">
        <v>425</v>
      </c>
      <c r="F4" s="15" t="s">
        <v>54</v>
      </c>
    </row>
    <row r="5" spans="1:6" x14ac:dyDescent="0.25">
      <c r="A5" s="13" t="s">
        <v>429</v>
      </c>
      <c r="B5" s="13" t="s">
        <v>427</v>
      </c>
      <c r="C5" s="13" t="s">
        <v>430</v>
      </c>
      <c r="D5" s="6" t="s">
        <v>431</v>
      </c>
      <c r="E5" s="13" t="s">
        <v>92</v>
      </c>
      <c r="F5" s="13" t="s">
        <v>54</v>
      </c>
    </row>
    <row r="6" spans="1:6" x14ac:dyDescent="0.25">
      <c r="A6" s="15" t="s">
        <v>432</v>
      </c>
      <c r="B6" s="15" t="s">
        <v>433</v>
      </c>
      <c r="C6" s="15" t="s">
        <v>434</v>
      </c>
      <c r="D6" s="9" t="s">
        <v>435</v>
      </c>
      <c r="E6" s="15" t="s">
        <v>67</v>
      </c>
      <c r="F6" s="15" t="s">
        <v>59</v>
      </c>
    </row>
    <row r="7" spans="1:6" x14ac:dyDescent="0.25">
      <c r="A7" s="13" t="s">
        <v>436</v>
      </c>
      <c r="B7" s="13" t="s">
        <v>437</v>
      </c>
      <c r="C7" s="13" t="s">
        <v>438</v>
      </c>
      <c r="D7" s="6" t="s">
        <v>439</v>
      </c>
      <c r="E7" s="13" t="s">
        <v>67</v>
      </c>
      <c r="F7" s="13" t="s">
        <v>59</v>
      </c>
    </row>
    <row r="8" spans="1:6" x14ac:dyDescent="0.25">
      <c r="A8" s="15" t="s">
        <v>440</v>
      </c>
      <c r="B8" s="15" t="s">
        <v>438</v>
      </c>
      <c r="C8" s="15" t="s">
        <v>441</v>
      </c>
      <c r="D8" s="9" t="s">
        <v>442</v>
      </c>
      <c r="E8" s="15" t="s">
        <v>67</v>
      </c>
      <c r="F8" s="15" t="s">
        <v>59</v>
      </c>
    </row>
  </sheetData>
  <autoFilter ref="A2:F8"/>
  <mergeCells count="1">
    <mergeCell ref="A1:F1"/>
  </mergeCells>
  <conditionalFormatting sqref="E3:E8">
    <cfRule type="cellIs" dxfId="163" priority="1" operator="equal">
      <formula>"Completed"</formula>
    </cfRule>
    <cfRule type="cellIs" dxfId="164" priority="2" operator="equal">
      <formula>"In Progress"</formula>
    </cfRule>
    <cfRule type="cellIs" dxfId="165" priority="3" operator="equal">
      <formula>"Review"</formula>
    </cfRule>
    <cfRule type="cellIs" dxfId="166" priority="4" operator="equal">
      <formula>"Blocked"</formula>
    </cfRule>
    <cfRule type="cellIs" dxfId="167" priority="5" operator="equal">
      <formula>"Not Started"</formula>
    </cfRule>
  </conditionalFormatting>
  <conditionalFormatting sqref="F3:F8">
    <cfRule type="cellIs" dxfId="168" priority="6" operator="equal">
      <formula>"Critical"</formula>
    </cfRule>
    <cfRule type="cellIs" dxfId="169" priority="7" operator="equal">
      <formula>"High"</formula>
    </cfRule>
    <cfRule type="cellIs" dxfId="170" priority="8" operator="equal">
      <formula>"Medium"</formula>
    </cfRule>
    <cfRule type="cellIs" dxfId="171" priority="9" operator="equal">
      <formula>"Low"</formula>
    </cfRule>
  </conditionalFormatting>
  <dataValidations count="2">
    <dataValidation type="list" allowBlank="1" sqref="E3:E8">
      <formula1>"Not Started,Resolved,Blocked,In Progress"</formula1>
    </dataValidation>
    <dataValidation type="list" allowBlank="1" sqref="F3:F8">
      <formula1>"Critical,High,Medium,Low"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40" customWidth="1"/>
  </cols>
  <sheetData>
    <row r="1" ht="24" customHeight="1" spans="1:5" x14ac:dyDescent="0.25">
      <c r="A1" s="37" t="s">
        <v>443</v>
      </c>
      <c r="B1" s="37"/>
      <c r="C1" s="37"/>
      <c r="D1" s="37"/>
      <c r="E1" s="37"/>
    </row>
    <row r="2" ht="26" customHeight="1" spans="1:5" x14ac:dyDescent="0.25">
      <c r="A2" s="12" t="s">
        <v>444</v>
      </c>
      <c r="B2" s="12" t="s">
        <v>445</v>
      </c>
      <c r="C2" s="12" t="s">
        <v>446</v>
      </c>
      <c r="D2" s="12" t="s">
        <v>44</v>
      </c>
      <c r="E2" s="12" t="s">
        <v>368</v>
      </c>
    </row>
    <row r="3" spans="1:5" x14ac:dyDescent="0.25">
      <c r="A3" s="13" t="s">
        <v>447</v>
      </c>
      <c r="B3" s="6" t="s">
        <v>448</v>
      </c>
      <c r="C3" s="6" t="s">
        <v>449</v>
      </c>
      <c r="D3" s="13" t="s">
        <v>12</v>
      </c>
      <c r="E3" s="13" t="s">
        <v>22</v>
      </c>
    </row>
    <row r="4" spans="1:5" x14ac:dyDescent="0.25">
      <c r="A4" s="15" t="s">
        <v>450</v>
      </c>
      <c r="B4" s="9" t="s">
        <v>451</v>
      </c>
      <c r="C4" s="9" t="s">
        <v>452</v>
      </c>
      <c r="D4" s="15" t="s">
        <v>12</v>
      </c>
      <c r="E4" s="15" t="s">
        <v>28</v>
      </c>
    </row>
    <row r="5" spans="1:5" x14ac:dyDescent="0.25">
      <c r="A5" s="13" t="s">
        <v>453</v>
      </c>
      <c r="B5" s="6" t="s">
        <v>454</v>
      </c>
      <c r="C5" s="6" t="s">
        <v>455</v>
      </c>
      <c r="D5" s="13" t="s">
        <v>12</v>
      </c>
      <c r="E5" s="13" t="s">
        <v>28</v>
      </c>
    </row>
    <row r="6" spans="1:5" x14ac:dyDescent="0.25">
      <c r="A6" s="15" t="s">
        <v>456</v>
      </c>
      <c r="B6" s="9" t="s">
        <v>457</v>
      </c>
      <c r="C6" s="9" t="s">
        <v>458</v>
      </c>
      <c r="D6" s="15" t="s">
        <v>92</v>
      </c>
      <c r="E6" s="15" t="s">
        <v>22</v>
      </c>
    </row>
    <row r="7" spans="1:5" x14ac:dyDescent="0.25">
      <c r="A7" s="13" t="s">
        <v>459</v>
      </c>
      <c r="B7" s="6" t="s">
        <v>460</v>
      </c>
      <c r="C7" s="6" t="s">
        <v>461</v>
      </c>
      <c r="D7" s="13" t="s">
        <v>67</v>
      </c>
      <c r="E7" s="13" t="s">
        <v>28</v>
      </c>
    </row>
    <row r="8" spans="1:5" x14ac:dyDescent="0.25">
      <c r="A8" s="15" t="s">
        <v>462</v>
      </c>
      <c r="B8" s="9" t="s">
        <v>463</v>
      </c>
      <c r="C8" s="9" t="s">
        <v>464</v>
      </c>
      <c r="D8" s="15" t="s">
        <v>67</v>
      </c>
      <c r="E8" s="15" t="s">
        <v>22</v>
      </c>
    </row>
    <row r="9" spans="1:5" x14ac:dyDescent="0.25">
      <c r="A9" s="13" t="s">
        <v>465</v>
      </c>
      <c r="B9" s="6" t="s">
        <v>466</v>
      </c>
      <c r="C9" s="6" t="s">
        <v>467</v>
      </c>
      <c r="D9" s="13" t="s">
        <v>67</v>
      </c>
      <c r="E9" s="13" t="s">
        <v>22</v>
      </c>
    </row>
    <row r="10" spans="1:5" x14ac:dyDescent="0.25">
      <c r="A10" s="15" t="s">
        <v>468</v>
      </c>
      <c r="B10" s="9" t="s">
        <v>469</v>
      </c>
      <c r="C10" s="9" t="s">
        <v>470</v>
      </c>
      <c r="D10" s="15" t="s">
        <v>67</v>
      </c>
      <c r="E10" s="15" t="s">
        <v>25</v>
      </c>
    </row>
  </sheetData>
  <autoFilter ref="A2:E10"/>
  <mergeCells count="1">
    <mergeCell ref="A1:E1"/>
  </mergeCells>
  <conditionalFormatting sqref="D3:D10">
    <cfRule type="cellIs" dxfId="172" priority="1" operator="equal">
      <formula>"Completed"</formula>
    </cfRule>
    <cfRule type="cellIs" dxfId="173" priority="2" operator="equal">
      <formula>"In Progress"</formula>
    </cfRule>
    <cfRule type="cellIs" dxfId="174" priority="3" operator="equal">
      <formula>"Review"</formula>
    </cfRule>
    <cfRule type="cellIs" dxfId="175" priority="4" operator="equal">
      <formula>"Blocked"</formula>
    </cfRule>
    <cfRule type="cellIs" dxfId="176" priority="5" operator="equal">
      <formula>"Not Started"</formula>
    </cfRule>
  </conditionalFormatting>
  <dataValidations count="2">
    <dataValidation type="list" allowBlank="1" sqref="D10">
      <formula1>"Not Started,In Progress,Review,Completed,Blocked"</formula1>
    </dataValidation>
    <dataValidation type="list" allowBlank="1" sqref="D3:D10">
      <formula1>"Not Started,In Progress,Review,Completed,Blocked"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  <col min="3" max="3" width="36" customWidth="1"/>
    <col min="4" max="4" width="40" customWidth="1"/>
    <col min="5" max="6" width="36" customWidth="1"/>
  </cols>
  <sheetData>
    <row r="1" ht="24" customHeight="1" spans="1:6" x14ac:dyDescent="0.25">
      <c r="A1" s="37" t="s">
        <v>471</v>
      </c>
      <c r="B1" s="37"/>
      <c r="C1" s="37"/>
      <c r="D1" s="37"/>
      <c r="E1" s="37"/>
      <c r="F1" s="37"/>
    </row>
    <row r="2" ht="26" customHeight="1" spans="1:6" x14ac:dyDescent="0.25">
      <c r="A2" s="12" t="s">
        <v>472</v>
      </c>
      <c r="B2" s="12" t="s">
        <v>473</v>
      </c>
      <c r="C2" s="12" t="s">
        <v>420</v>
      </c>
      <c r="D2" s="12" t="s">
        <v>474</v>
      </c>
      <c r="E2" s="12" t="s">
        <v>475</v>
      </c>
      <c r="F2" s="12" t="s">
        <v>44</v>
      </c>
    </row>
    <row r="3" spans="1:6" x14ac:dyDescent="0.25">
      <c r="A3" s="13" t="s">
        <v>476</v>
      </c>
      <c r="B3" s="6" t="s">
        <v>477</v>
      </c>
      <c r="C3" s="13" t="s">
        <v>59</v>
      </c>
      <c r="D3" s="6" t="s">
        <v>478</v>
      </c>
      <c r="E3" s="13" t="s">
        <v>25</v>
      </c>
      <c r="F3" s="13" t="s">
        <v>479</v>
      </c>
    </row>
    <row r="4" spans="1:6" x14ac:dyDescent="0.25">
      <c r="A4" s="15" t="s">
        <v>480</v>
      </c>
      <c r="B4" s="9" t="s">
        <v>481</v>
      </c>
      <c r="C4" s="15" t="s">
        <v>59</v>
      </c>
      <c r="D4" s="9" t="s">
        <v>482</v>
      </c>
      <c r="E4" s="15" t="s">
        <v>34</v>
      </c>
      <c r="F4" s="15" t="s">
        <v>483</v>
      </c>
    </row>
    <row r="5" spans="1:6" x14ac:dyDescent="0.25">
      <c r="A5" s="13" t="s">
        <v>484</v>
      </c>
      <c r="B5" s="6" t="s">
        <v>485</v>
      </c>
      <c r="C5" s="13" t="s">
        <v>63</v>
      </c>
      <c r="D5" s="6" t="s">
        <v>486</v>
      </c>
      <c r="E5" s="13" t="s">
        <v>22</v>
      </c>
      <c r="F5" s="13" t="s">
        <v>483</v>
      </c>
    </row>
    <row r="6" spans="1:6" x14ac:dyDescent="0.25">
      <c r="A6" s="15" t="s">
        <v>487</v>
      </c>
      <c r="B6" s="9" t="s">
        <v>488</v>
      </c>
      <c r="C6" s="15" t="s">
        <v>54</v>
      </c>
      <c r="D6" s="9" t="s">
        <v>489</v>
      </c>
      <c r="E6" s="15" t="s">
        <v>25</v>
      </c>
      <c r="F6" s="15" t="s">
        <v>483</v>
      </c>
    </row>
    <row r="7" spans="1:6" x14ac:dyDescent="0.25">
      <c r="A7" s="13" t="s">
        <v>490</v>
      </c>
      <c r="B7" s="6" t="s">
        <v>491</v>
      </c>
      <c r="C7" s="13" t="s">
        <v>63</v>
      </c>
      <c r="D7" s="6" t="s">
        <v>492</v>
      </c>
      <c r="E7" s="13" t="s">
        <v>28</v>
      </c>
      <c r="F7" s="13" t="s">
        <v>483</v>
      </c>
    </row>
  </sheetData>
  <autoFilter ref="A2:F7"/>
  <mergeCells count="1">
    <mergeCell ref="A1:F1"/>
  </mergeCells>
  <conditionalFormatting sqref="C3:C7">
    <cfRule type="cellIs" dxfId="177" priority="1" operator="equal">
      <formula>"Critical"</formula>
    </cfRule>
    <cfRule type="cellIs" dxfId="178" priority="2" operator="equal">
      <formula>"High"</formula>
    </cfRule>
    <cfRule type="cellIs" dxfId="179" priority="3" operator="equal">
      <formula>"Medium"</formula>
    </cfRule>
    <cfRule type="cellIs" dxfId="180" priority="4" operator="equal">
      <formula>"Low"</formula>
    </cfRule>
  </conditionalFormatting>
  <dataValidations count="2">
    <dataValidation type="list" allowBlank="1" sqref="C3:C7">
      <formula1>"Critical,High,Medium,Low"</formula1>
    </dataValidation>
    <dataValidation type="list" allowBlank="1" sqref="F3:F7">
      <formula1>"Open,Mitigated,Closed"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40" customWidth="1"/>
  </cols>
  <sheetData>
    <row r="1" ht="24" customHeight="1" spans="1:5" x14ac:dyDescent="0.25">
      <c r="A1" s="37" t="s">
        <v>493</v>
      </c>
      <c r="B1" s="37"/>
      <c r="C1" s="37"/>
      <c r="D1" s="37"/>
      <c r="E1" s="37"/>
    </row>
    <row r="2" ht="26" customHeight="1" spans="1:5" x14ac:dyDescent="0.25">
      <c r="A2" s="12" t="s">
        <v>494</v>
      </c>
      <c r="B2" s="12" t="s">
        <v>495</v>
      </c>
      <c r="C2" s="12" t="s">
        <v>496</v>
      </c>
      <c r="D2" s="12" t="s">
        <v>44</v>
      </c>
      <c r="E2" s="12" t="s">
        <v>497</v>
      </c>
    </row>
    <row r="3" spans="1:5" x14ac:dyDescent="0.25">
      <c r="A3" s="13" t="s">
        <v>498</v>
      </c>
      <c r="B3" s="6" t="s">
        <v>499</v>
      </c>
      <c r="C3" s="13" t="s">
        <v>19</v>
      </c>
      <c r="D3" s="13" t="s">
        <v>12</v>
      </c>
      <c r="E3" s="6" t="s">
        <v>500</v>
      </c>
    </row>
    <row r="4" spans="1:5" x14ac:dyDescent="0.25">
      <c r="A4" s="15" t="s">
        <v>501</v>
      </c>
      <c r="B4" s="9" t="s">
        <v>502</v>
      </c>
      <c r="C4" s="15" t="s">
        <v>22</v>
      </c>
      <c r="D4" s="15" t="s">
        <v>92</v>
      </c>
      <c r="E4" s="9" t="s">
        <v>503</v>
      </c>
    </row>
    <row r="5" spans="1:5" x14ac:dyDescent="0.25">
      <c r="A5" s="13" t="s">
        <v>504</v>
      </c>
      <c r="B5" s="6" t="s">
        <v>505</v>
      </c>
      <c r="C5" s="13" t="s">
        <v>22</v>
      </c>
      <c r="D5" s="13" t="s">
        <v>67</v>
      </c>
      <c r="E5" s="6" t="s">
        <v>506</v>
      </c>
    </row>
    <row r="6" spans="1:5" x14ac:dyDescent="0.25">
      <c r="A6" s="15" t="s">
        <v>507</v>
      </c>
      <c r="B6" s="9" t="s">
        <v>508</v>
      </c>
      <c r="C6" s="15" t="s">
        <v>28</v>
      </c>
      <c r="D6" s="15" t="s">
        <v>67</v>
      </c>
      <c r="E6" s="9" t="s">
        <v>509</v>
      </c>
    </row>
    <row r="7" spans="1:5" x14ac:dyDescent="0.25">
      <c r="A7" s="13" t="s">
        <v>510</v>
      </c>
      <c r="B7" s="6" t="s">
        <v>511</v>
      </c>
      <c r="C7" s="13" t="s">
        <v>19</v>
      </c>
      <c r="D7" s="13" t="s">
        <v>67</v>
      </c>
      <c r="E7" s="6" t="s">
        <v>512</v>
      </c>
    </row>
    <row r="8" spans="1:5" x14ac:dyDescent="0.25">
      <c r="A8" s="15" t="s">
        <v>513</v>
      </c>
      <c r="B8" s="9" t="s">
        <v>514</v>
      </c>
      <c r="C8" s="15" t="s">
        <v>19</v>
      </c>
      <c r="D8" s="15" t="s">
        <v>67</v>
      </c>
      <c r="E8" s="9" t="s">
        <v>515</v>
      </c>
    </row>
  </sheetData>
  <autoFilter ref="A2:E8"/>
  <mergeCells count="1">
    <mergeCell ref="A1:E1"/>
  </mergeCells>
  <conditionalFormatting sqref="D3:D8">
    <cfRule type="cellIs" dxfId="181" priority="1" operator="equal">
      <formula>"Completed"</formula>
    </cfRule>
    <cfRule type="cellIs" dxfId="182" priority="2" operator="equal">
      <formula>"In Progress"</formula>
    </cfRule>
    <cfRule type="cellIs" dxfId="183" priority="3" operator="equal">
      <formula>"Review"</formula>
    </cfRule>
    <cfRule type="cellIs" dxfId="184" priority="4" operator="equal">
      <formula>"Blocked"</formula>
    </cfRule>
    <cfRule type="cellIs" dxfId="185" priority="5" operator="equal">
      <formula>"Not Started"</formula>
    </cfRule>
  </conditionalFormatting>
  <dataValidations count="1">
    <dataValidation type="list" allowBlank="1" sqref="D3:D8">
      <formula1>"Not Started,In Progress,Review,Completed,Blocked"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Dashboard</vt:lpstr>
      <vt:lpstr>Kanban Board</vt:lpstr>
      <vt:lpstr>Sprint 0</vt:lpstr>
      <vt:lpstr>Day 1</vt:lpstr>
      <vt:lpstr>Day 2</vt:lpstr>
      <vt:lpstr>Day 3</vt:lpstr>
      <vt:lpstr>Day 4</vt:lpstr>
      <vt:lpstr>Day 5</vt:lpstr>
      <vt:lpstr>Day 6</vt:lpstr>
      <vt:lpstr>Day 7</vt:lpstr>
      <vt:lpstr>Backend Tasks</vt:lpstr>
      <vt:lpstr>Frontend Tasks</vt:lpstr>
      <vt:lpstr>Database Tasks</vt:lpstr>
      <vt:lpstr>AI Tasks</vt:lpstr>
      <vt:lpstr>Face Recognition Tasks</vt:lpstr>
      <vt:lpstr>Documentation &amp; QA Tasks</vt:lpstr>
      <vt:lpstr>Infrastructure Tasks</vt:lpstr>
      <vt:lpstr>Integration Tracker</vt:lpstr>
      <vt:lpstr>Bug Tracker</vt:lpstr>
      <vt:lpstr>Security Checklist</vt:lpstr>
      <vt:lpstr>Daily Standup</vt:lpstr>
      <vt:lpstr>Team Workload</vt:lpstr>
      <vt:lpstr>Dependency Tracker</vt:lpstr>
      <vt:lpstr>Deployment Checklist</vt:lpstr>
      <vt:lpstr>Risks &amp; Blockers</vt:lpstr>
      <vt:lpstr>Final Handover 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Delivery Lead</dc:creator>
  <dc:title/>
  <dc:subject/>
  <dc:description/>
  <cp:keywords/>
  <cp:category/>
  <cp:lastModifiedBy>Enterprise Delivery Lead</cp:lastModifiedBy>
  <dcterms:created xsi:type="dcterms:W3CDTF">2026-06-19T14:32:17Z</dcterms:created>
  <dcterms:modified xsi:type="dcterms:W3CDTF">2026-06-19T14:32:17Z</dcterms:modified>
</cp:coreProperties>
</file>