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shboard" state="visible" r:id="rId4"/>
    <sheet sheetId="2" name="Kanban Board" state="visible" r:id="rId5"/>
    <sheet sheetId="3" name="Sprint 0" state="visible" r:id="rId6"/>
    <sheet sheetId="4" name="Day 1" state="visible" r:id="rId7"/>
    <sheet sheetId="5" name="Day 2" state="visible" r:id="rId8"/>
    <sheet sheetId="6" name="Day 3" state="visible" r:id="rId9"/>
    <sheet sheetId="7" name="Day 4" state="visible" r:id="rId10"/>
    <sheet sheetId="8" name="Day 5" state="visible" r:id="rId11"/>
    <sheet sheetId="9" name="Day 6" state="visible" r:id="rId12"/>
    <sheet sheetId="10" name="Day 7" state="visible" r:id="rId13"/>
    <sheet sheetId="11" name="Backend Tasks" state="visible" r:id="rId14"/>
    <sheet sheetId="12" name="Frontend Tasks" state="visible" r:id="rId15"/>
    <sheet sheetId="13" name="Database Tasks" state="visible" r:id="rId16"/>
    <sheet sheetId="14" name="AI Tasks" state="visible" r:id="rId17"/>
    <sheet sheetId="15" name="Face Recognition Tasks" state="visible" r:id="rId18"/>
    <sheet sheetId="16" name="Documentation &amp; QA Tasks" state="visible" r:id="rId19"/>
    <sheet sheetId="17" name="Infrastructure Tasks" state="visible" r:id="rId20"/>
    <sheet sheetId="18" name="Integration Tracker" state="visible" r:id="rId21"/>
    <sheet sheetId="19" name="Bug Tracker" state="visible" r:id="rId22"/>
    <sheet sheetId="20" name="Security Checklist" state="visible" r:id="rId23"/>
    <sheet sheetId="21" name="Daily Standup" state="visible" r:id="rId24"/>
    <sheet sheetId="22" name="Team Workload" state="visible" r:id="rId25"/>
    <sheet sheetId="23" name="Dependency Tracker" state="visible" r:id="rId26"/>
    <sheet sheetId="24" name="Deployment Checklist" state="visible" r:id="rId27"/>
    <sheet sheetId="25" name="Risks &amp; Blockers" state="visible" r:id="rId28"/>
    <sheet sheetId="26" name="Final Handover Checklist" state="visible" r:id="rId29"/>
    <sheet sheetId="27" name="Daily Review Log" state="visible" r:id="rId30"/>
    <sheet sheetId="28" name="Testing Tracker" state="visible" r:id="rId31"/>
    <sheet sheetId="29" name="Security Review Tracker" state="visible" r:id="rId32"/>
    <sheet sheetId="30" name="Team Usage Guide" state="visible" r:id="rId33"/>
  </sheets>
  <calcPr calcId="171027"/>
</workbook>
</file>

<file path=xl/sharedStrings.xml><?xml version="1.0" encoding="utf-8"?>
<sst xmlns="http://schemas.openxmlformats.org/spreadsheetml/2006/main" count="3607" uniqueCount="834">
  <si>
    <t>AI-Powered Smart Municipal Citizen Assistance &amp; Staff Attendance Management System - Executive Dashboard</t>
  </si>
  <si>
    <t>Overall Completion %</t>
  </si>
  <si>
    <t>Blocked Tasks</t>
  </si>
  <si>
    <t>Critical Issues Open</t>
  </si>
  <si>
    <t>Open Bugs</t>
  </si>
  <si>
    <t>Security Checklist %</t>
  </si>
  <si>
    <t>Deployment Readiness %</t>
  </si>
  <si>
    <t>Demo Critical Tasks Remaining</t>
  </si>
  <si>
    <t>Open Security Issues</t>
  </si>
  <si>
    <t>Testing Completion %</t>
  </si>
  <si>
    <t>Integration Completion %</t>
  </si>
  <si>
    <t>Team Workload &amp; Progress Summary</t>
  </si>
  <si>
    <t>Module Development Status</t>
  </si>
  <si>
    <t>Day-Wise Progress Timeline</t>
  </si>
  <si>
    <t>Team Member</t>
  </si>
  <si>
    <t>Assigned Tasks</t>
  </si>
  <si>
    <t>Completed</t>
  </si>
  <si>
    <t>Pending</t>
  </si>
  <si>
    <t>Blocked</t>
  </si>
  <si>
    <t>Completion %</t>
  </si>
  <si>
    <t>Module Name</t>
  </si>
  <si>
    <t>Total Tasks</t>
  </si>
  <si>
    <t>Day</t>
  </si>
  <si>
    <t>Minha Palakkathodi</t>
  </si>
  <si>
    <t>Backend</t>
  </si>
  <si>
    <t>Sprint 0</t>
  </si>
  <si>
    <t>Adithyan N</t>
  </si>
  <si>
    <t>Frontend</t>
  </si>
  <si>
    <t>Day 1</t>
  </si>
  <si>
    <t>Fathima Hana</t>
  </si>
  <si>
    <t>Database</t>
  </si>
  <si>
    <t>Day 2</t>
  </si>
  <si>
    <t>Muhammad Sanish</t>
  </si>
  <si>
    <t>AI</t>
  </si>
  <si>
    <t>Day 3</t>
  </si>
  <si>
    <t>Fadi Ahmed</t>
  </si>
  <si>
    <t>Face Recognition</t>
  </si>
  <si>
    <t>Day 4</t>
  </si>
  <si>
    <t>Muhammed Sadik KT</t>
  </si>
  <si>
    <t>Documentation &amp; QA</t>
  </si>
  <si>
    <t>Day 5</t>
  </si>
  <si>
    <t>Infrastructure</t>
  </si>
  <si>
    <t>Day 6</t>
  </si>
  <si>
    <t>Task ID</t>
  </si>
  <si>
    <t>Module</t>
  </si>
  <si>
    <t>Task Name</t>
  </si>
  <si>
    <t>Assigned To</t>
  </si>
  <si>
    <t>Priority</t>
  </si>
  <si>
    <t>Status</t>
  </si>
  <si>
    <t>Progress %</t>
  </si>
  <si>
    <t>Due Day</t>
  </si>
  <si>
    <t>Dependency</t>
  </si>
  <si>
    <t>Testing Status</t>
  </si>
  <si>
    <t>Security Status</t>
  </si>
  <si>
    <t>Remarks</t>
  </si>
  <si>
    <t>Demo Critical?</t>
  </si>
  <si>
    <t>Day 7</t>
  </si>
  <si>
    <t>TASK-INF-001</t>
  </si>
  <si>
    <t>Repository verification</t>
  </si>
  <si>
    <t>Adithyan N + Muhammad Sanish</t>
  </si>
  <si>
    <t>High</t>
  </si>
  <si>
    <t>Not Started</t>
  </si>
  <si>
    <t>None</t>
  </si>
  <si>
    <t>Check configuration files integrity</t>
  </si>
  <si>
    <t>No</t>
  </si>
  <si>
    <t>TASK-INF-002</t>
  </si>
  <si>
    <t>Git workflow setup</t>
  </si>
  <si>
    <t>Main/develop/feature branching rules</t>
  </si>
  <si>
    <t>TASK-INF-003</t>
  </si>
  <si>
    <t>Branch setup</t>
  </si>
  <si>
    <t>Initial pull request guidelines set</t>
  </si>
  <si>
    <t>TASK-INF-004</t>
  </si>
  <si>
    <t>MongoDB Atlas setup</t>
  </si>
  <si>
    <t>Critical</t>
  </si>
  <si>
    <t>IP whitelist rules configured</t>
  </si>
  <si>
    <t>TASK-INF-005</t>
  </si>
  <si>
    <t>Environment variables</t>
  </si>
  <si>
    <t>No secrets checked in</t>
  </si>
  <si>
    <t>TASK-INF-006</t>
  </si>
  <si>
    <t>ESLint</t>
  </si>
  <si>
    <t>Medium</t>
  </si>
  <si>
    <t>Static code styling checks active</t>
  </si>
  <si>
    <t>TASK-INF-007</t>
  </si>
  <si>
    <t>Prettier</t>
  </si>
  <si>
    <t>Auto format on save verified</t>
  </si>
  <si>
    <t>TASK-INF-008</t>
  </si>
  <si>
    <t>Logging infrastructure</t>
  </si>
  <si>
    <t>PII credentials redact scripts applied</t>
  </si>
  <si>
    <t>TASK-INF-009</t>
  </si>
  <si>
    <t>Deployment preparation</t>
  </si>
  <si>
    <t>Production CORS policies configured</t>
  </si>
  <si>
    <t>TASK-DB-001</t>
  </si>
  <si>
    <t>User schema</t>
  </si>
  <si>
    <t>Support: Adithyan N. Unique key bounds active</t>
  </si>
  <si>
    <t>TASK-DB-002</t>
  </si>
  <si>
    <t>Role schema</t>
  </si>
  <si>
    <t>Support: Adithyan N. Predefined roles seeded</t>
  </si>
  <si>
    <t>TASK-DB-003</t>
  </si>
  <si>
    <t>Permission schema</t>
  </si>
  <si>
    <t>Support: Adithyan N. RBAC maps</t>
  </si>
  <si>
    <t>TASK-DB-004</t>
  </si>
  <si>
    <t>Department schema</t>
  </si>
  <si>
    <t>Support: Adithyan N. Collection indices</t>
  </si>
  <si>
    <t>TASK-DB-005</t>
  </si>
  <si>
    <t>Complaint schema</t>
  </si>
  <si>
    <t>Support: Adithyan N. Handles attachments path strings</t>
  </si>
  <si>
    <t>Yes</t>
  </si>
  <si>
    <t>TASK-DB-006</t>
  </si>
  <si>
    <t>Complaint assignment schema</t>
  </si>
  <si>
    <t>Support: Adithyan N. References user and complaint</t>
  </si>
  <si>
    <t>TASK-DB-007</t>
  </si>
  <si>
    <t>File tracking schema</t>
  </si>
  <si>
    <t>Support: Adithyan N. Tracks history steps</t>
  </si>
  <si>
    <t>TASK-DB-008</t>
  </si>
  <si>
    <t>Feedback schema</t>
  </si>
  <si>
    <t>Support: Adithyan N. Constraints bounds checks</t>
  </si>
  <si>
    <t>TASK-DB-009</t>
  </si>
  <si>
    <t>Attendance schema</t>
  </si>
  <si>
    <t>Support: Adithyan N. Biometric template matches parameters</t>
  </si>
  <si>
    <t>TASK-DB-010</t>
  </si>
  <si>
    <t>Notification schema</t>
  </si>
  <si>
    <t>Support: Adithyan N. Unread indicators</t>
  </si>
  <si>
    <t>TASK-DB-011</t>
  </si>
  <si>
    <t>Audit log schema</t>
  </si>
  <si>
    <t>Support: Adithyan N. Strict immutability controls</t>
  </si>
  <si>
    <t>TASK-DB-012</t>
  </si>
  <si>
    <t>Chatbot session schema</t>
  </si>
  <si>
    <t>Support: Adithyan N. Session TTL setup</t>
  </si>
  <si>
    <t>TASK-DB-013</t>
  </si>
  <si>
    <t>Indexes</t>
  </si>
  <si>
    <t>Support: Adithyan N. Index strategies verified</t>
  </si>
  <si>
    <t>TASK-DB-014</t>
  </si>
  <si>
    <t>Relationships</t>
  </si>
  <si>
    <t>Support: Adithyan N. Strict Mongoose validations</t>
  </si>
  <si>
    <t>TASK-DB-015</t>
  </si>
  <si>
    <t>Validation rules</t>
  </si>
  <si>
    <t>Support: Adithyan N. Input sanity checker</t>
  </si>
  <si>
    <t>TASK-DB-016</t>
  </si>
  <si>
    <t>Query optimization</t>
  </si>
  <si>
    <t>Support: Adithyan N. Optimizing pipeline matches</t>
  </si>
  <si>
    <t>TASK-BE-001</t>
  </si>
  <si>
    <t>Express setup</t>
  </si>
  <si>
    <t>Security middleware active</t>
  </si>
  <si>
    <t>TASK-BE-002</t>
  </si>
  <si>
    <t>MongoDB connection</t>
  </si>
  <si>
    <t>Connection pool set to 10 connections max</t>
  </si>
  <si>
    <t>TASK-BE-003</t>
  </si>
  <si>
    <t>Environment configuration</t>
  </si>
  <si>
    <t>Throws startup error on missing keys</t>
  </si>
  <si>
    <t>TASK-BE-004</t>
  </si>
  <si>
    <t>Authentication APIs</t>
  </si>
  <si>
    <t>Bcrypt salt rounds configured</t>
  </si>
  <si>
    <t>TASK-BE-005</t>
  </si>
  <si>
    <t>JWT implementation</t>
  </si>
  <si>
    <t>Token expires in 15 mins</t>
  </si>
  <si>
    <t>TASK-BE-006</t>
  </si>
  <si>
    <t>Refresh token API</t>
  </si>
  <si>
    <t>Secure cookie transport tags configuration</t>
  </si>
  <si>
    <t>TASK-BE-007</t>
  </si>
  <si>
    <t>Logout API</t>
  </si>
  <si>
    <t>Revokes active refresh session</t>
  </si>
  <si>
    <t>TASK-BE-008</t>
  </si>
  <si>
    <t>RBAC middleware</t>
  </si>
  <si>
    <t>Role sets validation checks</t>
  </si>
  <si>
    <t>TASK-BE-009</t>
  </si>
  <si>
    <t>Audit logging</t>
  </si>
  <si>
    <t>Writes directly to audit_logs collection</t>
  </si>
  <si>
    <t>TASK-BE-010</t>
  </si>
  <si>
    <t>Error middleware</t>
  </si>
  <si>
    <t>Redacts stack traces in production environment</t>
  </si>
  <si>
    <t>TASK-BE-011</t>
  </si>
  <si>
    <t>Validation middleware</t>
  </si>
  <si>
    <t>Strips unauthorized fields</t>
  </si>
  <si>
    <t>TASK-BE-012</t>
  </si>
  <si>
    <t>Complaint APIs</t>
  </si>
  <si>
    <t>Resource ownership validations active</t>
  </si>
  <si>
    <t>TASK-BE-013</t>
  </si>
  <si>
    <t>File Tracking APIs</t>
  </si>
  <si>
    <t>Suppresses internal notes and logs on public view</t>
  </si>
  <si>
    <t>TASK-BE-014</t>
  </si>
  <si>
    <t>Feedback APIs</t>
  </si>
  <si>
    <t>Locks complaints database records on completion</t>
  </si>
  <si>
    <t>TASK-BE-015</t>
  </si>
  <si>
    <t>Attendance APIs</t>
  </si>
  <si>
    <t>Validates consent status before scan logic</t>
  </si>
  <si>
    <t>TASK-BE-016</t>
  </si>
  <si>
    <t>Admin APIs</t>
  </si>
  <si>
    <t>Enforces strict Admin role checks</t>
  </si>
  <si>
    <t>TASK-BE-017</t>
  </si>
  <si>
    <t>Notification APIs</t>
  </si>
  <si>
    <t>System alert logs generation</t>
  </si>
  <si>
    <t>TASK-BE-018</t>
  </si>
  <si>
    <t>Rate limiting</t>
  </si>
  <si>
    <t>Prevents brute force attempts</t>
  </si>
  <si>
    <t>TASK-BE-019</t>
  </si>
  <si>
    <t>Health check API</t>
  </si>
  <si>
    <t>Low</t>
  </si>
  <si>
    <t>Returns DB status and memory limits details</t>
  </si>
  <si>
    <t>TASK-BE-020</t>
  </si>
  <si>
    <t>API documentation</t>
  </si>
  <si>
    <t>Complete document of schema request bodies</t>
  </si>
  <si>
    <t>TASK-FE-001</t>
  </si>
  <si>
    <t>React project setup</t>
  </si>
  <si>
    <t>Project workspace initialized</t>
  </si>
  <si>
    <t>TASK-FE-002</t>
  </si>
  <si>
    <t>Tailwind setup</t>
  </si>
  <si>
    <t>Custom theme color palettes mapped</t>
  </si>
  <si>
    <t>TASK-FE-003</t>
  </si>
  <si>
    <t>Folder structure</t>
  </si>
  <si>
    <t>Standard clean coding layout</t>
  </si>
  <si>
    <t>TASK-FE-004</t>
  </si>
  <si>
    <t>Global layout</t>
  </si>
  <si>
    <t>Mobile responsive shell layout</t>
  </si>
  <si>
    <t>TASK-FE-005</t>
  </si>
  <si>
    <t>Routing</t>
  </si>
  <si>
    <t>URL router structure finalized</t>
  </si>
  <si>
    <t>TASK-FE-006</t>
  </si>
  <si>
    <t>Protected routes</t>
  </si>
  <si>
    <t>Redirects guest to login page</t>
  </si>
  <si>
    <t>TASK-FE-007</t>
  </si>
  <si>
    <t>Axios client</t>
  </si>
  <si>
    <t>Base configuration templates</t>
  </si>
  <si>
    <t>TASK-FE-008</t>
  </si>
  <si>
    <t>API interceptors</t>
  </si>
  <si>
    <t>Auto attaches auth tokens to headers</t>
  </si>
  <si>
    <t>TASK-FE-009</t>
  </si>
  <si>
    <t>Authentication pages</t>
  </si>
  <si>
    <t>Client side input validation rules active</t>
  </si>
  <si>
    <t>TASK-FE-010</t>
  </si>
  <si>
    <t>Citizen Dashboard</t>
  </si>
  <si>
    <t>Overview dashboard for citizen portals</t>
  </si>
  <si>
    <t>TASK-FE-011</t>
  </si>
  <si>
    <t>Complaint Management UI</t>
  </si>
  <si>
    <t>File type constraints validated</t>
  </si>
  <si>
    <t>TASK-FE-012</t>
  </si>
  <si>
    <t>File Tracking UI</t>
  </si>
  <si>
    <t>Visual timeline progress trackers</t>
  </si>
  <si>
    <t>TASK-FE-013</t>
  </si>
  <si>
    <t>Feedback UI</t>
  </si>
  <si>
    <t>1-to-5 star feedback rating</t>
  </si>
  <si>
    <t>TASK-FE-014</t>
  </si>
  <si>
    <t>Staff Dashboard UI</t>
  </si>
  <si>
    <t>Workspace console for employees</t>
  </si>
  <si>
    <t>TASK-FE-015</t>
  </si>
  <si>
    <t>Attendance UI</t>
  </si>
  <si>
    <t>Liveness prompt overlay layout</t>
  </si>
  <si>
    <t>TASK-FE-016</t>
  </si>
  <si>
    <t>Chatbot UI</t>
  </si>
  <si>
    <t>Gemini assistant layout UI</t>
  </si>
  <si>
    <t>TASK-FE-017</t>
  </si>
  <si>
    <t>Admin Dashboard UI</t>
  </si>
  <si>
    <t>SLA thresholds controller views</t>
  </si>
  <si>
    <t>TASK-FE-018</t>
  </si>
  <si>
    <t>Notifications UI</t>
  </si>
  <si>
    <t>Toast popups integrations</t>
  </si>
  <si>
    <t>TASK-FE-019</t>
  </si>
  <si>
    <t>Reusable Components</t>
  </si>
  <si>
    <t>Common component assets</t>
  </si>
  <si>
    <t>TASK-FE-020</t>
  </si>
  <si>
    <t>Responsive fixes</t>
  </si>
  <si>
    <t>Fluid grids testing</t>
  </si>
  <si>
    <t>TASK-FE-021</t>
  </si>
  <si>
    <t>Frontend API integration</t>
  </si>
  <si>
    <t>Integration mapping verified</t>
  </si>
  <si>
    <t>TASK-FE-022</t>
  </si>
  <si>
    <t>Error boundaries</t>
  </si>
  <si>
    <t>No stack details shown in production UI</t>
  </si>
  <si>
    <t>TASK-FE-023</t>
  </si>
  <si>
    <t>Loading components</t>
  </si>
  <si>
    <t>Visual placeholders setup</t>
  </si>
  <si>
    <t>TASK-FE-024</t>
  </si>
  <si>
    <t>Final UI testing</t>
  </si>
  <si>
    <t>UX verification pass signoff</t>
  </si>
  <si>
    <t>TASK-AI-001</t>
  </si>
  <si>
    <t>Gemini integration</t>
  </si>
  <si>
    <t>RAG context grounding middleware</t>
  </si>
  <si>
    <t>TASK-AI-002</t>
  </si>
  <si>
    <t>Prompt engineering</t>
  </si>
  <si>
    <t>Strict grounding bounds</t>
  </si>
  <si>
    <t>TASK-AI-003</t>
  </si>
  <si>
    <t>Chatbot API</t>
  </si>
  <si>
    <t>Logs sessions to chatbot DB logs</t>
  </si>
  <si>
    <t>TASK-AI-004</t>
  </si>
  <si>
    <t>OCR service</t>
  </si>
  <si>
    <t>Sandbox process execution setup</t>
  </si>
  <si>
    <t>TASK-AI-005</t>
  </si>
  <si>
    <t>OCR validation</t>
  </si>
  <si>
    <t>Verify metadata matching limits</t>
  </si>
  <si>
    <t>TASK-AI-006</t>
  </si>
  <si>
    <t>Face recognition core</t>
  </si>
  <si>
    <t>Volatile memory calculations</t>
  </si>
  <si>
    <t>TASK-AI-007</t>
  </si>
  <si>
    <t>Attendance recognition service</t>
  </si>
  <si>
    <t>Liveness score validation criteria check</t>
  </si>
  <si>
    <t>TASK-AI-008</t>
  </si>
  <si>
    <t>AI testing</t>
  </si>
  <si>
    <t>Checks accuracy scales</t>
  </si>
  <si>
    <t>TASK-AI-009</t>
  </si>
  <si>
    <t>Response optimization</t>
  </si>
  <si>
    <t>RAG search optimizations</t>
  </si>
  <si>
    <t>TASK-FR-001</t>
  </si>
  <si>
    <t>Dataset Collection</t>
  </si>
  <si>
    <t>No images checked in repository</t>
  </si>
  <si>
    <t>TASK-FR-002</t>
  </si>
  <si>
    <t>Prototype Refinement</t>
  </si>
  <si>
    <t>Anti-spoofing tests calibration</t>
  </si>
  <si>
    <t>TASK-FR-003</t>
  </si>
  <si>
    <t>Camera Integration Testing</t>
  </si>
  <si>
    <t>Confirm permissions logic</t>
  </si>
  <si>
    <t>TASK-FR-004</t>
  </si>
  <si>
    <t>Attendance Workflow Testing</t>
  </si>
  <si>
    <t>Strict consent checker gating attendance validation</t>
  </si>
  <si>
    <t>TASK-FR-005</t>
  </si>
  <si>
    <t>Recognition Accuracy Testing</t>
  </si>
  <si>
    <t>Audits against spoof attacks</t>
  </si>
  <si>
    <t>TASK-FR-006</t>
  </si>
  <si>
    <t>Cross-Browser Camera Testing</t>
  </si>
  <si>
    <t>Webcam permissions tests on Safari/Firefox/Chrome</t>
  </si>
  <si>
    <t>TASK-FR-007</t>
  </si>
  <si>
    <t>Scanner UI Review</t>
  </si>
  <si>
    <t>UI responsiveness check</t>
  </si>
  <si>
    <t>TASK-FR-008</t>
  </si>
  <si>
    <t>System Integration Testing</t>
  </si>
  <si>
    <t>Gating RBAC reviews verified</t>
  </si>
  <si>
    <t>TASK-FR-009</t>
  </si>
  <si>
    <t>Camera Permission Testing</t>
  </si>
  <si>
    <t>Checks fallback options</t>
  </si>
  <si>
    <t>TASK-QA-001</t>
  </si>
  <si>
    <t>Requirement traceability</t>
  </si>
  <si>
    <t>Master traceability index setup</t>
  </si>
  <si>
    <t>TASK-QA-002</t>
  </si>
  <si>
    <t>Test case creation</t>
  </si>
  <si>
    <t>Manual check sheets ready</t>
  </si>
  <si>
    <t>TASK-QA-003</t>
  </si>
  <si>
    <t>UAT preparation</t>
  </si>
  <si>
    <t>Acceptance checklist templates</t>
  </si>
  <si>
    <t>TASK-QA-004</t>
  </si>
  <si>
    <t>Documentation review</t>
  </si>
  <si>
    <t>Checks repository documents integrity</t>
  </si>
  <si>
    <t>TASK-QA-005</t>
  </si>
  <si>
    <t>Security checklist review</t>
  </si>
  <si>
    <t>Checks details audits validation</t>
  </si>
  <si>
    <t>TASK-QA-006</t>
  </si>
  <si>
    <t>QA reports</t>
  </si>
  <si>
    <t>Test pass metrics logs summary</t>
  </si>
  <si>
    <t>TASK-QA-007</t>
  </si>
  <si>
    <t>Bug verification</t>
  </si>
  <si>
    <t>Verify fix statuses</t>
  </si>
  <si>
    <t>TASK-QA-008</t>
  </si>
  <si>
    <t>Final documentation</t>
  </si>
  <si>
    <t>Complete architecture references</t>
  </si>
  <si>
    <t>TASK-QA-009</t>
  </si>
  <si>
    <t>Handover documentation</t>
  </si>
  <si>
    <t>Log logins and operational keys handover structures</t>
  </si>
  <si>
    <t>AI-Powered Smart Municipal Kanban Board (Status Flow Tracker)</t>
  </si>
  <si>
    <t>Project Name:</t>
  </si>
  <si>
    <t>Smart Municipal Assistance MVP</t>
  </si>
  <si>
    <t>Enterprise Lead:</t>
  </si>
  <si>
    <t>Adithyan N &amp; PMO Team</t>
  </si>
  <si>
    <t>Target Milestone:</t>
  </si>
  <si>
    <t>1-Week Rapid MVP Release</t>
  </si>
  <si>
    <t>Backlog / Future</t>
  </si>
  <si>
    <t>In Progress</t>
  </si>
  <si>
    <t>Under Review</t>
  </si>
  <si>
    <t/>
  </si>
  <si>
    <t>Gantt Timeline Plan - Sprint 0 Schedule &amp; Tasks</t>
  </si>
  <si>
    <t>Deliverable</t>
  </si>
  <si>
    <t>Testing Required</t>
  </si>
  <si>
    <t>Security Check Required</t>
  </si>
  <si>
    <t>Verified local Git repository and node workspace structures</t>
  </si>
  <si>
    <t>Repository branching model and commit rules defined</t>
  </si>
  <si>
    <t>Feature branches initialized on GitHub</t>
  </si>
  <si>
    <t>Live MongoDB Atlas sandbox cluster initialized with access controls</t>
  </si>
  <si>
    <t>.env.example templates configuration sheets</t>
  </si>
  <si>
    <t>ESLint standards rules deployed to repository root</t>
  </si>
  <si>
    <t>Prettier formats scripts configured</t>
  </si>
  <si>
    <t>Gantt Timeline Plan - Day 1 Schedule &amp; Tasks</t>
  </si>
  <si>
    <t>Winston/Morgan logger system with data masking logic</t>
  </si>
  <si>
    <t>Mongoose schema for users collection</t>
  </si>
  <si>
    <t>Roles allocation definition mapping schemas</t>
  </si>
  <si>
    <t>Permissions collection schemas definition mapping routes</t>
  </si>
  <si>
    <t>Department schemas mapping employees</t>
  </si>
  <si>
    <t>Unique indices mapping user emails and tracking file ID keys</t>
  </si>
  <si>
    <t>Foreign object reference bounds configuration in schemas</t>
  </si>
  <si>
    <t>Mongoose validators evaluating text formats and coordinate bounds</t>
  </si>
  <si>
    <t>Express server layout initialized with Helmet and CORS settings</t>
  </si>
  <si>
    <t>Mongoose database connector with auto-retry logics</t>
  </si>
  <si>
    <t>Dotenv loader checking and validating essential keys</t>
  </si>
  <si>
    <t>Gated endpoint middleware evaluating token permissions</t>
  </si>
  <si>
    <t>Centralized Express error handlers parsing exceptions</t>
  </si>
  <si>
    <t>Body/params query schemas validator middlewares</t>
  </si>
  <si>
    <t>Rate-limiter setup restricting requests per IP window</t>
  </si>
  <si>
    <t>Diagnostics route returning system status</t>
  </si>
  <si>
    <t>Vite React scaffold template created</t>
  </si>
  <si>
    <t>Tailwind utility framework config initialized</t>
  </si>
  <si>
    <t>Standard client pages/components directory structured</t>
  </si>
  <si>
    <t>Responsive sidebars and navigation headers layouts</t>
  </si>
  <si>
    <t>React Router paths configuration mapping</t>
  </si>
  <si>
    <t>Route wrapper gating views based on user login token</t>
  </si>
  <si>
    <t>Custom Axios client class initialized</t>
  </si>
  <si>
    <t>JWT token injection request/response interceptors</t>
  </si>
  <si>
    <t>Standard buttons, forms input fields, modal dialogs library</t>
  </si>
  <si>
    <t>React fallback boundaries catching rendering errors</t>
  </si>
  <si>
    <t>Standardized skeleton loader elements</t>
  </si>
  <si>
    <t>RTM spreadsheet linking requirements to components code</t>
  </si>
  <si>
    <t>Gantt Timeline Plan - Day 2 Schedule &amp; Tasks</t>
  </si>
  <si>
    <t>Complaints database models with status trackers</t>
  </si>
  <si>
    <t>Assignments tracking schemas mapping assignees and times</t>
  </si>
  <si>
    <t>Login and signup backend API router endpoints</t>
  </si>
  <si>
    <t>Access token issuance logic mapped to JWT key payload</t>
  </si>
  <si>
    <t>Rotating refresh token endpoints validations</t>
  </si>
  <si>
    <t>Token cleanup and session revocation middleware endpoints</t>
  </si>
  <si>
    <t>Create, update, assign, and query complaints APIs</t>
  </si>
  <si>
    <t>Responsive Login and registration forms UI layouts</t>
  </si>
  <si>
    <t>Grievance list overview panel and stats widgets UI</t>
  </si>
  <si>
    <t>Complaint intake form components with file attachment uploaders</t>
  </si>
  <si>
    <t>Functional test cases suite covering citizen/staff actions</t>
  </si>
  <si>
    <t>Gantt Timeline Plan - Day 3 Schedule &amp; Tasks</t>
  </si>
  <si>
    <t>File_tracking and progress steps schemas mapping</t>
  </si>
  <si>
    <t>Customer feedback rating collection schema setup</t>
  </si>
  <si>
    <t>Public tracking progress endpoint lookup</t>
  </si>
  <si>
    <t>Complaint feedback rating submission and ticket locking controller</t>
  </si>
  <si>
    <t>Public timeline tracking status lookup bar</t>
  </si>
  <si>
    <t>Satisfaction ratings component locking solved complaints</t>
  </si>
  <si>
    <t>Gantt Timeline Plan - Day 4 Schedule &amp; Tasks</t>
  </si>
  <si>
    <t>Staff attendance punch records logs schema mapping</t>
  </si>
  <si>
    <t>Chat conversation logs databases tracking structures</t>
  </si>
  <si>
    <t>Attendance punch registers and consent flags lookup endpoints</t>
  </si>
  <si>
    <t>Kanban view and ticket updates action buttons</t>
  </si>
  <si>
    <t>Webcam consent prompt and face scan punch window</t>
  </si>
  <si>
    <t>Conversational chat container overlays widget UI</t>
  </si>
  <si>
    <t>Gemini API client connection script with prompt instructions</t>
  </si>
  <si>
    <t>System instructions locking AI answers within municipality docs</t>
  </si>
  <si>
    <t>Express server routing chat session controller endpoints</t>
  </si>
  <si>
    <t>Python comparison scripts checking face points similarity</t>
  </si>
  <si>
    <t>Biometrics validation punch connector API</t>
  </si>
  <si>
    <t>Standardized baseline test faces calibration datasets</t>
  </si>
  <si>
    <t>Optimized points extraction models</t>
  </si>
  <si>
    <t>HTML5 webcam access scripts checks report</t>
  </si>
  <si>
    <t>Webcam canvas box layout alignment reviews logs</t>
  </si>
  <si>
    <t>Verification checklists logging permission locks and denials checks</t>
  </si>
  <si>
    <t>Gantt Timeline Plan - Day 5 Schedule &amp; Tasks</t>
  </si>
  <si>
    <t>System alerts database logging schemas</t>
  </si>
  <si>
    <t>Append-only transactional events audit logging schema</t>
  </si>
  <si>
    <t>Transactional logging controller mapping security events</t>
  </si>
  <si>
    <t>System configurations and user details updates controls APIs</t>
  </si>
  <si>
    <t>Trigger notification records and dispatch to DB logs</t>
  </si>
  <si>
    <t>Swagger/OpenAPI backend routing contracts layout</t>
  </si>
  <si>
    <t>User lists management, SLAs settings, and parameters tables</t>
  </si>
  <si>
    <t>Alert toasts lists dropdown console UI</t>
  </si>
  <si>
    <t>Connect React layouts to Express server routes API endpoints</t>
  </si>
  <si>
    <t>PDF/image character recognition text extractor service</t>
  </si>
  <si>
    <t>Extracted texts checks validating document details matching</t>
  </si>
  <si>
    <t>Biometrics matching FAR/FRR testing checklist documentation</t>
  </si>
  <si>
    <t>Fine-tuned prompt parameters shortening delay intervals</t>
  </si>
  <si>
    <t>Verify biometric punch registration triggers checkin updates</t>
  </si>
  <si>
    <t>FAR and FRR metrics check data log summary</t>
  </si>
  <si>
    <t>User acceptance testing checklist layout schemas</t>
  </si>
  <si>
    <t>Gantt Timeline Plan - Day 6 Schedule &amp; Tasks</t>
  </si>
  <si>
    <t>Explain query plans validation analysis records</t>
  </si>
  <si>
    <t>Media queries tweaks on mobile viewports</t>
  </si>
  <si>
    <t>Camera compatibility verification checks results log</t>
  </si>
  <si>
    <t>End to end biometrics validations verification logs</t>
  </si>
  <si>
    <t>System QA test validation results report</t>
  </si>
  <si>
    <t>QA verified bug tracker status validation logs</t>
  </si>
  <si>
    <t>Gantt Timeline Plan - Day 7 Schedule &amp; Tasks</t>
  </si>
  <si>
    <t>Render/Vercel MVP launch readiness report</t>
  </si>
  <si>
    <t>E2E visual verification and usability test runs report</t>
  </si>
  <si>
    <t>Verification and correction checklists for all docs</t>
  </si>
  <si>
    <t>Security validation gates signed reports</t>
  </si>
  <si>
    <t>Consolidated developer documentation package</t>
  </si>
  <si>
    <t>Municipality handover procedures manuals checklist</t>
  </si>
  <si>
    <t>Backend Tasks (Module Lead: Muhammad Sanish) - Note: Team members must update the 'Last Updated' field whenever a task status changes.</t>
  </si>
  <si>
    <t>Last Updated</t>
  </si>
  <si>
    <t>Frontend Tasks (Module Lead: Adithyan N) - Note: Team members must update the 'Last Updated' field whenever a task status changes.</t>
  </si>
  <si>
    <t>Database Tasks (Module Lead: Fathima Hana) - Note: Team members must update the 'Last Updated' field whenever a task status changes.</t>
  </si>
  <si>
    <t>AI Tasks (Module Lead: Muhammed Sadik KT) - Note: Team members must update the 'Last Updated' field whenever a task status changes.</t>
  </si>
  <si>
    <t>Face Recognition Tasks (Module Lead: Fadi Ahmed) - Note: Team members must update the 'Last Updated' field whenever a task status changes.</t>
  </si>
  <si>
    <t>Documentation &amp; QA Tasks (Module Lead: Minha Palakkathodi) - Note: Team members must update the 'Last Updated' field whenever a task status changes.</t>
  </si>
  <si>
    <t>Infrastructure Tasks (Module Lead: Adithyan N + Muhammad Sanish) - Note: Team members must update the 'Last Updated' field whenever a task status changes.</t>
  </si>
  <si>
    <t>Cross-Module Integration Point Registry</t>
  </si>
  <si>
    <t>Integration ID</t>
  </si>
  <si>
    <t>Source Module</t>
  </si>
  <si>
    <t>Destination Module</t>
  </si>
  <si>
    <t>Interface Name</t>
  </si>
  <si>
    <t>Data Flow Description</t>
  </si>
  <si>
    <t>Verification Notes</t>
  </si>
  <si>
    <t>INT-001</t>
  </si>
  <si>
    <t>Authentication Integration</t>
  </si>
  <si>
    <t>React login/register pages payload connection to Express auth endpoints</t>
  </si>
  <si>
    <t>Pending API development</t>
  </si>
  <si>
    <t>INT-002</t>
  </si>
  <si>
    <t>Complaint Submission Portal</t>
  </si>
  <si>
    <t>React complaint intake form uploads to complaints controllers</t>
  </si>
  <si>
    <t>Pending backend controller setup</t>
  </si>
  <si>
    <t>INT-003</t>
  </si>
  <si>
    <t>Attendance punch flow</t>
  </si>
  <si>
    <t>React biometric scanner uploads frames to attendance punches APIs</t>
  </si>
  <si>
    <t>Pending attendance API setup</t>
  </si>
  <si>
    <t>INT-004</t>
  </si>
  <si>
    <t>Chatbot interface connection</t>
  </si>
  <si>
    <t>React chatbot window dialog log stream to Gemini RAG proxy route</t>
  </si>
  <si>
    <t>Pending RAG wrapper setup</t>
  </si>
  <si>
    <t>INT-005</t>
  </si>
  <si>
    <t>Mongoose database adapters</t>
  </si>
  <si>
    <t>Express server schemas models connection to MongoDB Atlas database</t>
  </si>
  <si>
    <t>Pending MongoDB configuration</t>
  </si>
  <si>
    <t>INT-006</t>
  </si>
  <si>
    <t>AI Services</t>
  </si>
  <si>
    <t>Gemini RAG connector API</t>
  </si>
  <si>
    <t>Express chat session controller proxy requests to Gemini model client</t>
  </si>
  <si>
    <t>Pending Gemini client setup</t>
  </si>
  <si>
    <t>INT-007</t>
  </si>
  <si>
    <t>Biometric liveness service</t>
  </si>
  <si>
    <t>Express attendance punch endpoint forwards face coordinates to face recognizer</t>
  </si>
  <si>
    <t>Pending face recognizer core model</t>
  </si>
  <si>
    <t>INT-008</t>
  </si>
  <si>
    <t>File tracking progress lookup</t>
  </si>
  <si>
    <t>React public search timeline reads from tracking API routes</t>
  </si>
  <si>
    <t>Pending tracking API setup</t>
  </si>
  <si>
    <t>INT-009</t>
  </si>
  <si>
    <t>OCR character scanner integration</t>
  </si>
  <si>
    <t>Express upload API sends document PDFs/images to OCR text extractor</t>
  </si>
  <si>
    <t>Pending OCR service setup</t>
  </si>
  <si>
    <t>INT-010</t>
  </si>
  <si>
    <t>Feedback rating locking system</t>
  </si>
  <si>
    <t>React satisfaction stars locks complaints ticket record on backend</t>
  </si>
  <si>
    <t>Pending complaint locking logic</t>
  </si>
  <si>
    <t>Defect Prevention and QA Bug Tracker</t>
  </si>
  <si>
    <t>Bug ID</t>
  </si>
  <si>
    <t>Summary</t>
  </si>
  <si>
    <t>Steps to Reproduce</t>
  </si>
  <si>
    <t>Severity</t>
  </si>
  <si>
    <t>Found By</t>
  </si>
  <si>
    <t>Date Found</t>
  </si>
  <si>
    <t>Date Closed</t>
  </si>
  <si>
    <t>Target Release</t>
  </si>
  <si>
    <t>Resolution Notes</t>
  </si>
  <si>
    <t>Reviewed By</t>
  </si>
  <si>
    <t>Review Date</t>
  </si>
  <si>
    <t>BUG-001</t>
  </si>
  <si>
    <t>Token expiration causes infinite loop in Axios interceptor</t>
  </si>
  <si>
    <t xml:space="preserve">1. Login to client portal.
2. Wait for JWT token to expire.
3. Request fails, interceptor retries indefinitely.</t>
  </si>
  <si>
    <t>Open</t>
  </si>
  <si>
    <t>19-06-2026</t>
  </si>
  <si>
    <t>v1.0.0-MVP</t>
  </si>
  <si>
    <t>Pending triage.</t>
  </si>
  <si>
    <t>BUG-002</t>
  </si>
  <si>
    <t>Bcrypt hash comparisons fail for special characters in passwords</t>
  </si>
  <si>
    <t xml:space="preserve">1. Register user with password containing $ or @.
2. Attempt login.
3. Login fails with password mismatch error.</t>
  </si>
  <si>
    <t>Investigating Bcrypt salt validation.</t>
  </si>
  <si>
    <t>BUG-003</t>
  </si>
  <si>
    <t>Webcam punch feed freezes on Safari desktop browser</t>
  </si>
  <si>
    <t xml:space="preserve">1. Open attendance check-in page in Safari.
2. Webcam initializes but video stream freezes after 2 seconds.</t>
  </si>
  <si>
    <t>Checking canvas drawing context update interval.</t>
  </si>
  <si>
    <t>BUG-004</t>
  </si>
  <si>
    <t>Query failure when fetching complaints with coordinates outside bounds</t>
  </si>
  <si>
    <t xml:space="preserve">1. Submit complaint with latitude/longitude outside municipal borders.
2. Database query fails with geospatial validator error.</t>
  </si>
  <si>
    <t>Configuring boundary check in Mongoose model validator.</t>
  </si>
  <si>
    <t>BUG-005</t>
  </si>
  <si>
    <t>Gemini prompt injections can bypass municipal knowledge base restriction</t>
  </si>
  <si>
    <t xml:space="preserve">1. Open Chatbot interface.
2. Enter prompt telling the model to ignore previous instructions.
3. Model answers general knowledge queries.</t>
  </si>
  <si>
    <t>Refining grounding prompts with strict system bounds.</t>
  </si>
  <si>
    <t>Mandatory MVP Security Validation Gates</t>
  </si>
  <si>
    <t>Control ID</t>
  </si>
  <si>
    <t>Security Control Requirement</t>
  </si>
  <si>
    <t>Verification Method / Evidence</t>
  </si>
  <si>
    <t>Verified By</t>
  </si>
  <si>
    <t>Target Day</t>
  </si>
  <si>
    <t>SEC-001</t>
  </si>
  <si>
    <t>No plaintext secrets committed. Config retrieved from env.</t>
  </si>
  <si>
    <t>Code review of configuration modules &amp; environment logs.</t>
  </si>
  <si>
    <t>SEC-002</t>
  </si>
  <si>
    <t>Bcrypt password hashing configured with workload factor &gt;= 10.</t>
  </si>
  <si>
    <t>Review backend signup logic and test database hashes.</t>
  </si>
  <si>
    <t>SEC-003</t>
  </si>
  <si>
    <t>JWT tokens set with short expiration limits (&lt; 15 mins).</t>
  </si>
  <si>
    <t>Examine JWT payload structures and expiry parameters.</t>
  </si>
  <si>
    <t>SEC-004</t>
  </si>
  <si>
    <t>Frontend Token Handling (Cookie Storage)</t>
  </si>
  <si>
    <t>Check local/session storage cookie attributes and CORS bounds</t>
  </si>
  <si>
    <t>SEC-005</t>
  </si>
  <si>
    <t>Resource ownership filter validated at backend layer.</t>
  </si>
  <si>
    <t>Testing API modifications under multiple authenticated roles.</t>
  </si>
  <si>
    <t>SEC-006</t>
  </si>
  <si>
    <t>Upload restrictions gated to PDF/Image formats and &lt; 5MB.</t>
  </si>
  <si>
    <t>Try uploading arbitrary text/executable files to complain attachments.</t>
  </si>
  <si>
    <t>SEC-007</t>
  </si>
  <si>
    <t>Public trackers suppress private remarks &amp; internal logs.</t>
  </si>
  <si>
    <t>Call tracking endpoint publicly and inspect JSON response.</t>
  </si>
  <si>
    <t>SEC-008</t>
  </si>
  <si>
    <t>Biometric consent checked prior to webcam scan access.</t>
  </si>
  <si>
    <t>Test attendance check-in workflow without setting consent flag.</t>
  </si>
  <si>
    <t>SEC-009</t>
  </si>
  <si>
    <t>Face Data Cleanup (Zero Retention in RAM)</t>
  </si>
  <si>
    <t>Verify volatile memory execution and check disk file systems.</t>
  </si>
  <si>
    <t>Fadi Ahmed + Muhammed Sadik KT</t>
  </si>
  <si>
    <t>SEC-010</t>
  </si>
  <si>
    <t>Gemini prompts locked within municipal context chunks.</t>
  </si>
  <si>
    <t>Attempt prompt injections to query non-municipal system topics.</t>
  </si>
  <si>
    <t>SEC-011</t>
  </si>
  <si>
    <t>Anti-NoSQL injection middleware active on backend.</t>
  </si>
  <si>
    <t>Send query payloads with operator tags ($gt, $ne, etc.) to APIs.</t>
  </si>
  <si>
    <t>SEC-012</t>
  </si>
  <si>
    <t>Immutable S3 backup snapshot locks configured.</t>
  </si>
  <si>
    <t>Review backup lock policy config and attempt deletion command.</t>
  </si>
  <si>
    <t>Daily Scrum Standup Tracker (15 mins Review logs)</t>
  </si>
  <si>
    <t>Date</t>
  </si>
  <si>
    <t>Yesterday (Completed Tasks)</t>
  </si>
  <si>
    <t>Today (Planned Tasks)</t>
  </si>
  <si>
    <t>Blockers / Roadblocks</t>
  </si>
  <si>
    <t>Present (Yes/No)</t>
  </si>
  <si>
    <t>None (Day 0 Initial)</t>
  </si>
  <si>
    <t>Sprint 0 Setup tasks</t>
  </si>
  <si>
    <t>Resource Allocation and Productivity Tracker</t>
  </si>
  <si>
    <t>Critical Path Dependency Registry</t>
  </si>
  <si>
    <t>Dependency ID</t>
  </si>
  <si>
    <t>Pre-Requisite Task</t>
  </si>
  <si>
    <t>Dependent Task</t>
  </si>
  <si>
    <t>Dependency Description</t>
  </si>
  <si>
    <t>Severity Impact</t>
  </si>
  <si>
    <t>DEP-001</t>
  </si>
  <si>
    <t>TASK-DB-001 (User Schema)</t>
  </si>
  <si>
    <t>TASK-BE-004 (Authentication APIs)</t>
  </si>
  <si>
    <t>Auth controllers require user schema models before coding begins</t>
  </si>
  <si>
    <t>DEP-002</t>
  </si>
  <si>
    <t>TASK-BE-005 (JWT implementation)</t>
  </si>
  <si>
    <t>JWT logic is built on top of Auth user credentials matching</t>
  </si>
  <si>
    <t>DEP-003</t>
  </si>
  <si>
    <t>TASK-FE-006 (Protected routes)</t>
  </si>
  <si>
    <t>React protected routes require working backend JWT verification</t>
  </si>
  <si>
    <t>DEP-004</t>
  </si>
  <si>
    <t>TASK-DB-005 (Complaint Schema)</t>
  </si>
  <si>
    <t>TASK-BE-012 (Complaint APIs)</t>
  </si>
  <si>
    <t>Complaints controller depends on Mongoose schemas definitions</t>
  </si>
  <si>
    <t>DEP-005</t>
  </si>
  <si>
    <t>TASK-FE-011 (Complaint Management UI)</t>
  </si>
  <si>
    <t>Intake forms submission UI requires active complaint APIs endpoints</t>
  </si>
  <si>
    <t>DEP-006</t>
  </si>
  <si>
    <t>TASK-AI-006 (Face recognition core)</t>
  </si>
  <si>
    <t>TASK-BE-015 (Attendance APIs)</t>
  </si>
  <si>
    <t>Biometrics attendance punches verify client frames via AI script</t>
  </si>
  <si>
    <t>DEP-007</t>
  </si>
  <si>
    <t>TASK-FE-015 (Attendance UI)</t>
  </si>
  <si>
    <t>Attendance scanner punches require active attendance endpoint</t>
  </si>
  <si>
    <t>DEP-008</t>
  </si>
  <si>
    <t>TASK-AI-003 (Chatbot API)</t>
  </si>
  <si>
    <t>TASK-FE-016 (Chatbot UI)</t>
  </si>
  <si>
    <t>Grounded chatbot React overlay queries chat sessions endpoints</t>
  </si>
  <si>
    <t>MVP Production Launch Readiness Gates</t>
  </si>
  <si>
    <t>Deployment ID</t>
  </si>
  <si>
    <t>Launch Readiness Task</t>
  </si>
  <si>
    <t>Verification Method</t>
  </si>
  <si>
    <t>DEPL-001</t>
  </si>
  <si>
    <t>MongoDB Atlas Multi-AZ cluster config</t>
  </si>
  <si>
    <t>Verify production connection URI and access rules</t>
  </si>
  <si>
    <t>DEPL-002</t>
  </si>
  <si>
    <t>Production environment variables loaded</t>
  </si>
  <si>
    <t>Check config env parameters on hosting targets</t>
  </si>
  <si>
    <t>DEPL-003</t>
  </si>
  <si>
    <t>CORS origins allowlist configured</t>
  </si>
  <si>
    <t>Ensure only frontend URL is allowed in backend middleware</t>
  </si>
  <si>
    <t>DEPL-004</t>
  </si>
  <si>
    <t>HTTPS redirection configuration</t>
  </si>
  <si>
    <t>Confirm HTTP automatically redirects to HTTPS on production</t>
  </si>
  <si>
    <t>DEPL-005</t>
  </si>
  <si>
    <t>Render API Hosting server deploy</t>
  </si>
  <si>
    <t>Deploy backend service to Render backend web service</t>
  </si>
  <si>
    <t>DEPL-006</t>
  </si>
  <si>
    <t>Vercel Frontend client deploy</t>
  </si>
  <si>
    <t>Deploy React app and configure production routing on Vercel</t>
  </si>
  <si>
    <t>DEPL-007</t>
  </si>
  <si>
    <t>Turnstile CAPTCHA keys integration</t>
  </si>
  <si>
    <t>Load live keys to frontend and backend env properties</t>
  </si>
  <si>
    <t>DEPL-008</t>
  </si>
  <si>
    <t>KMS backup encryption setup</t>
  </si>
  <si>
    <t>Verify encryption keys rotation policies on AWS KMS</t>
  </si>
  <si>
    <t>Project Risk Mitigation Register</t>
  </si>
  <si>
    <t>Risk ID</t>
  </si>
  <si>
    <t>Risk Description</t>
  </si>
  <si>
    <t>Mitigation Plan Action</t>
  </si>
  <si>
    <t>Risk Owner</t>
  </si>
  <si>
    <t>Escalation Required? (Yes/No)</t>
  </si>
  <si>
    <t>RSK-001</t>
  </si>
  <si>
    <t>API Development Delay</t>
  </si>
  <si>
    <t>Develop mock API endpoints and response wrappers early in frontend to prevent blockages.</t>
  </si>
  <si>
    <t>RSK-002</t>
  </si>
  <si>
    <t>Cross-Module Integration Failure</t>
  </si>
  <si>
    <t>Enforce interface schema contracts and perform daily standup integration checks.</t>
  </si>
  <si>
    <t>RSK-003</t>
  </si>
  <si>
    <t>Database Schema Finalization Delay</t>
  </si>
  <si>
    <t>Provide early database support from Adithyan N to Fathima Hana to accelerate schemas coding.</t>
  </si>
  <si>
    <t>RSK-004</t>
  </si>
  <si>
    <t>Biometric Face Recognition Accuracy Drop</t>
  </si>
  <si>
    <t>Set up camera calibration parameters dataset and define manual fallback PIN verification.</t>
  </si>
  <si>
    <t>RSK-005</t>
  </si>
  <si>
    <t>Gemini AI Service Downtime</t>
  </si>
  <si>
    <t>Implement local failover checks and display user warning alert indicators.</t>
  </si>
  <si>
    <t>RSK-006</t>
  </si>
  <si>
    <t>Frontend Component Delivery Delay</t>
  </si>
  <si>
    <t>Prioritize basic auth routing layouts and grievance pages before styling visual charts.</t>
  </si>
  <si>
    <t>RSK-007</t>
  </si>
  <si>
    <t>Production Environment Deployment Failure</t>
  </si>
  <si>
    <t>Initialize hosting services environments and deploy simple diagnostic local runs on Day 4.</t>
  </si>
  <si>
    <t>Official Municipality Handover Packages Delivery Checklist</t>
  </si>
  <si>
    <t>Handover ID</t>
  </si>
  <si>
    <t>Handover Package / Deliverable</t>
  </si>
  <si>
    <t>Owner</t>
  </si>
  <si>
    <t>Remarks / Details</t>
  </si>
  <si>
    <t>HND-001</t>
  </si>
  <si>
    <t>Developer Guide and API Readme Manual</t>
  </si>
  <si>
    <t>Official handoff documentation template</t>
  </si>
  <si>
    <t>HND-002</t>
  </si>
  <si>
    <t>GitHub Repository Admin Credentials Transfer</t>
  </si>
  <si>
    <t>Rotating repository administrative keys</t>
  </si>
  <si>
    <t>HND-003</t>
  </si>
  <si>
    <t>MongoDB Atlas Cluster Credentials Transfer</t>
  </si>
  <si>
    <t>Transfer ownership to client account</t>
  </si>
  <si>
    <t>HND-004</t>
  </si>
  <si>
    <t>Render and Vercel Hosting Administration Credentials</t>
  </si>
  <si>
    <t>Provide organization administration logins</t>
  </si>
  <si>
    <t>HND-005</t>
  </si>
  <si>
    <t>Escalation Contacts and SLA Matrix Agreement</t>
  </si>
  <si>
    <t>Document contacts list and response guidelines</t>
  </si>
  <si>
    <t>HND-006</t>
  </si>
  <si>
    <t>Biometric Data Consent Forms Logs</t>
  </si>
  <si>
    <t>Review records against privacy requirements</t>
  </si>
  <si>
    <t>AI-Powered Smart Municipal Project - Daily Scrum Evening Review Log</t>
  </si>
  <si>
    <t>Meeting Conducted By</t>
  </si>
  <si>
    <t>Attendees</t>
  </si>
  <si>
    <t>Completed Tasks</t>
  </si>
  <si>
    <t>Current Blockers</t>
  </si>
  <si>
    <t>Security Issues</t>
  </si>
  <si>
    <t>Integration Issues</t>
  </si>
  <si>
    <t>Risks Identified</t>
  </si>
  <si>
    <t>Decisions Taken</t>
  </si>
  <si>
    <t>Action Items</t>
  </si>
  <si>
    <t>Due Date</t>
  </si>
  <si>
    <t>Minha, Sanish, Hana, Fadi, Sadik</t>
  </si>
  <si>
    <t>TASK-INF-001, TASK-INF-002</t>
  </si>
  <si>
    <t>Integration between React app and Express server auth endpoints under verification</t>
  </si>
  <si>
    <t>API development delay mitigated with mock routes</t>
  </si>
  <si>
    <t>Decided to lock complaints schema today</t>
  </si>
  <si>
    <t>Complete protected routing guards setup</t>
  </si>
  <si>
    <t>20-06-2026</t>
  </si>
  <si>
    <t>AI-Powered Smart Municipal Project - Quality Assurance Testing Tracker</t>
  </si>
  <si>
    <t>Test ID</t>
  </si>
  <si>
    <t>Feature</t>
  </si>
  <si>
    <t>Test Type</t>
  </si>
  <si>
    <t>Assigned Tester</t>
  </si>
  <si>
    <t>Bug Found (Yes/No)</t>
  </si>
  <si>
    <t>TST-001</t>
  </si>
  <si>
    <t>Authentication</t>
  </si>
  <si>
    <t>Integration</t>
  </si>
  <si>
    <t>Verify JWT access token validations</t>
  </si>
  <si>
    <t>TST-002</t>
  </si>
  <si>
    <t>Complaint Module</t>
  </si>
  <si>
    <t>Functional</t>
  </si>
  <si>
    <t>Verify complaint intake form submits successfully</t>
  </si>
  <si>
    <t>TST-003</t>
  </si>
  <si>
    <t>File Tracking</t>
  </si>
  <si>
    <t>API</t>
  </si>
  <si>
    <t>Verify public tracking endpoint outputs tracking steps</t>
  </si>
  <si>
    <t>TST-004</t>
  </si>
  <si>
    <t>Feedback</t>
  </si>
  <si>
    <t>UI</t>
  </si>
  <si>
    <t>Verify feedback form locks complaint upon ratings submission</t>
  </si>
  <si>
    <t>TST-005</t>
  </si>
  <si>
    <t>Attendance</t>
  </si>
  <si>
    <t>Verify webcam face punch liveness match</t>
  </si>
  <si>
    <t>TST-006</t>
  </si>
  <si>
    <t>Chatbot</t>
  </si>
  <si>
    <t>RAG Integration</t>
  </si>
  <si>
    <t>Verify Gemini answers grounded in local context</t>
  </si>
  <si>
    <t>TST-007</t>
  </si>
  <si>
    <t>Accuracy</t>
  </si>
  <si>
    <t>Verify FAR/FRR rates calibration tests</t>
  </si>
  <si>
    <t>TST-008</t>
  </si>
  <si>
    <t>OCR</t>
  </si>
  <si>
    <t>Verify file attachments text parsing and metadata extraction</t>
  </si>
  <si>
    <t>TST-009</t>
  </si>
  <si>
    <t>Dashboard</t>
  </si>
  <si>
    <t>Responsive</t>
  </si>
  <si>
    <t>Verify layouts and menus render cleanly on mobile</t>
  </si>
  <si>
    <t>TST-010</t>
  </si>
  <si>
    <t>Notifications</t>
  </si>
  <si>
    <t>Verify notification dispatch logs on database</t>
  </si>
  <si>
    <t>AI-Powered Smart Municipal Project - Security Review &amp; Validation Tracker</t>
  </si>
  <si>
    <t>Security Item</t>
  </si>
  <si>
    <t>Review Status</t>
  </si>
  <si>
    <t>Risk Level</t>
  </si>
  <si>
    <t>Password Hashing</t>
  </si>
  <si>
    <t>Verify bcrypt salt factor config</t>
  </si>
  <si>
    <t>JWT Security</t>
  </si>
  <si>
    <t>Check JWT signatures and short TTL bounds</t>
  </si>
  <si>
    <t>RBAC</t>
  </si>
  <si>
    <t>Check role permissions middleware validations</t>
  </si>
  <si>
    <t>Rate Limiting</t>
  </si>
  <si>
    <t>Check express-rate-limit settings</t>
  </si>
  <si>
    <t>Input Validation</t>
  </si>
  <si>
    <t>Validate inputs against Mongoose schemas</t>
  </si>
  <si>
    <t>Audit Logging</t>
  </si>
  <si>
    <t>Ensure critical updates are logged</t>
  </si>
  <si>
    <t>Environment Variables</t>
  </si>
  <si>
    <t>Ensure no secrets in source control</t>
  </si>
  <si>
    <t>File Upload Validation</t>
  </si>
  <si>
    <t>Restrict uploads to PDF/PNG and &lt;5MB</t>
  </si>
  <si>
    <t>HTTPS Verification</t>
  </si>
  <si>
    <t>Enforce SSL redirection on production</t>
  </si>
  <si>
    <t>Sensitive Data Protection</t>
  </si>
  <si>
    <t>Redact PII from diagnostic logging</t>
  </si>
  <si>
    <t>Face Data Cleanup</t>
  </si>
  <si>
    <t>Confirm zero frame photo persistence in RAM</t>
  </si>
  <si>
    <t>OCR Validation</t>
  </si>
  <si>
    <t>Verify file parsing sandbox restrictions</t>
  </si>
  <si>
    <t>Prompt Injection Protection</t>
  </si>
  <si>
    <t>Validate chat inputs and ground system prompts</t>
  </si>
  <si>
    <t>Smart Municipal Project - Team Usage &amp; Kanban Board Guide</t>
  </si>
  <si>
    <t>1. How to update task status:</t>
  </si>
  <si>
    <t>Go to the 'Dashboard' sheet, scroll down to the Master Task List, find your task, and double-click the 'Status' cell (Column F). Select from the dropdown: Not Started, In Progress, Review, Completed, or Blocked.</t>
  </si>
  <si>
    <t>2. How to update progress %:</t>
  </si>
  <si>
    <t>On the 'Dashboard' sheet, the 'Progress %' (Column G) updates automatically based on the status: 100% for Completed, 80% for Review, 50% for In Progress, and 0% for Not Started.</t>
  </si>
  <si>
    <t>3. How to report blockers:</t>
  </si>
  <si>
    <t>If a task is blocked, change its Status to 'Blocked'. Go to the 'Risks &amp; Blockers' sheet and add a risk description. Mark 'Escalation Required?' as 'Yes' if it needs urgent PMO discussion.</t>
  </si>
  <si>
    <t>4. How to report bugs:</t>
  </si>
  <si>
    <t>Go to the 'Bug Tracker' sheet, add a new row with Bug ID, summary, severity, and select Status as 'Open'. Assign the bug to the developer (e.g. Adithyan N for Frontend).</t>
  </si>
  <si>
    <t>5. How to update Last Updated field:</t>
  </si>
  <si>
    <t>Go to your specific team task sheet (e.g. 'Frontend Tasks') and type the date in dd-mm-yyyy format in the 'Last Updated' column (Column J) whenever you change a task's status.</t>
  </si>
  <si>
    <t>6. How to use the Kanban Board:</t>
  </si>
  <si>
    <t>The 'Kanban Board' sheet automatically displays tasks under columns matching their status. Use it during daily standups to visualize the team's workload.</t>
  </si>
  <si>
    <t>7. How evening review meetings work:</t>
  </si>
  <si>
    <t>The team holds a mandatory 15-minute evening review meeting. The meeting conductor will log attendees, completed tasks, blockers, and actions in the 'Daily Review Log' sheet.</t>
  </si>
  <si>
    <t>8. How to prioritize Demo Critical tasks:</t>
  </si>
  <si>
    <t>Filter the Master Task List on 'Dashboard' by the 'Demo Critical?' column (Column M) = 'Yes'. These core features (Auth, Complaints, Attendance, Chatbot, etc.) must be completed first.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</si>
</sst>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b/>
      <color rgb="FFFFFFFF"/>
      <sz val="14"/>
      <name val="Segoe UI"/>
    </font>
    <font>
      <b/>
      <color rgb="FF595959"/>
      <sz val="9"/>
      <name val="Segoe UI"/>
    </font>
    <font>
      <b/>
      <color rgb="FF1F4E78"/>
      <sz val="16"/>
      <name val="Segoe UI"/>
    </font>
    <font>
      <b/>
      <color rgb="FFFFFFFF"/>
      <sz val="10"/>
      <name val="Segoe UI"/>
    </font>
    <font>
      <b/>
      <sz val="9"/>
      <name val="Segoe UI"/>
    </font>
    <font>
      <sz val="10"/>
      <name val="Segoe UI"/>
    </font>
    <font>
      <b/>
      <color rgb="FFFFFFFF"/>
      <sz val="11"/>
      <name val="Segoe UI"/>
    </font>
    <font>
      <b/>
      <name val="Segoe UI"/>
    </font>
    <font>
      <b/>
      <color rgb="FFFFFFFF"/>
      <name val="Segoe UI"/>
    </font>
    <font>
      <sz val="9"/>
      <name val="Segoe UI"/>
    </font>
    <font>
      <b/>
      <color rgb="FFFFFFFF"/>
      <sz val="12"/>
      <name val="Segoe UI"/>
    </font>
    <font>
      <b/>
      <color rgb="FF1F4E78"/>
      <sz val="11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2C5E8A"/>
      </patternFill>
    </fill>
    <fill>
      <patternFill patternType="solid">
        <fgColor rgb="FFF2F2F2"/>
      </patternFill>
    </fill>
    <fill>
      <patternFill patternType="solid">
        <fgColor rgb="FFEBF2F7"/>
      </patternFill>
    </fill>
    <fill>
      <patternFill patternType="solid">
        <fgColor rgb="FF1F4E78"/>
      </patternFill>
    </fill>
    <fill>
      <patternFill patternType="solid">
        <fgColor rgb="FFF9FBFD"/>
      </patternFill>
    </fill>
    <fill>
      <patternFill patternType="solid">
        <fgColor rgb="FF7F7F7F"/>
      </patternFill>
    </fill>
    <fill>
      <patternFill patternType="solid">
        <fgColor rgb="FF595959"/>
      </patternFill>
    </fill>
    <fill>
      <patternFill patternType="solid">
        <fgColor rgb="FFC65911"/>
      </patternFill>
    </fill>
    <fill>
      <patternFill patternType="solid">
        <fgColor rgb="FF375623"/>
      </patternFill>
    </fill>
  </fills>
  <borders count="16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1F4E78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2C5E8A"/>
      </bottom>
      <diagonal/>
    </border>
    <border>
      <left/>
      <right/>
      <top/>
      <bottom style="thin">
        <color rgb="FFD3D3D3"/>
      </bottom>
      <diagonal/>
    </border>
    <border>
      <left style="thin">
        <color rgb="FF7F7F7F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7F7F7F"/>
      </right>
      <top style="thin">
        <color rgb="FFD3D3D3"/>
      </top>
      <bottom style="thin">
        <color rgb="FFD3D3D3"/>
      </bottom>
      <diagonal/>
    </border>
    <border>
      <left style="thin">
        <color rgb="FF595959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595959"/>
      </right>
      <top style="thin">
        <color rgb="FFD3D3D3"/>
      </top>
      <bottom style="thin">
        <color rgb="FFD3D3D3"/>
      </bottom>
      <diagonal/>
    </border>
    <border>
      <left style="thin">
        <color rgb="FF1F4E78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1F4E78"/>
      </right>
      <top style="thin">
        <color rgb="FFD3D3D3"/>
      </top>
      <bottom style="thin">
        <color rgb="FFD3D3D3"/>
      </bottom>
      <diagonal/>
    </border>
    <border>
      <left style="thin">
        <color rgb="FFC65911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C65911"/>
      </right>
      <top style="thin">
        <color rgb="FFD3D3D3"/>
      </top>
      <bottom style="thin">
        <color rgb="FFD3D3D3"/>
      </bottom>
      <diagonal/>
    </border>
    <border>
      <left style="thin">
        <color rgb="FF37562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37562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right"/>
    </xf>
    <xf numFmtId="0" fontId="6" fillId="6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right" vertical="center"/>
    </xf>
    <xf numFmtId="0" fontId="6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right" vertical="center"/>
    </xf>
    <xf numFmtId="0" fontId="8" fillId="0" borderId="0" xfId="0" applyFont="1"/>
    <xf numFmtId="0" fontId="0" fillId="4" borderId="3" xfId="0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0" fillId="0" borderId="6" xfId="0" applyFont="1" applyBorder="1" applyAlignment="1">
      <alignment horizontal="left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left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left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7" fillId="2" borderId="0" xfId="0" applyFont="1" applyFill="1"/>
    <xf numFmtId="14" fontId="6" fillId="0" borderId="1" xfId="0" applyNumberFormat="1" applyFont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11" fillId="2" borderId="0" xfId="0" applyFont="1" applyFill="1"/>
    <xf numFmtId="0" fontId="12" fillId="0" borderId="15" xfId="0" applyFont="1" applyBorder="1" applyAlignment="1">
      <alignment vertical="center"/>
    </xf>
    <xf numFmtId="0" fontId="0" fillId="0" borderId="15" xfId="0" applyBorder="1"/>
    <xf numFmtId="0" fontId="6" fillId="0" borderId="4" xfId="0" applyFont="1" applyBorder="1" applyAlignment="1">
      <alignment vertical="top" wrapText="1"/>
    </xf>
  </cellXfs>
  <cellStyles count="1">
    <cellStyle name="Normal" xfId="0" builtinId="0"/>
  </cellStyles>
  <dxfs count="200"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1"/>
  <sheetViews>
    <sheetView workbookViewId="0">
      <pane ySplit="14" topLeftCell="A15" activePane="bottomLeft" state="frozen"/>
      <selection pane="bottomLeft"/>
    </sheetView>
  </sheetViews>
  <sheetFormatPr defaultRowHeight="15" outlineLevelRow="0" outlineLevelCol="0" x14ac:dyDescent="55"/>
  <cols>
    <col min="1" max="20" width="40" customWidth="1"/>
  </cols>
  <sheetData>
    <row r="1" ht="36" customHeight="1" spans="1:2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16" customHeight="1" spans="1:20" x14ac:dyDescent="0.25">
      <c r="A2" s="2" t="s">
        <v>1</v>
      </c>
      <c r="B2" s="2"/>
      <c r="C2" s="2" t="s">
        <v>2</v>
      </c>
      <c r="D2" s="2"/>
      <c r="E2" s="2" t="s">
        <v>3</v>
      </c>
      <c r="F2" s="2"/>
      <c r="G2" s="2" t="s">
        <v>4</v>
      </c>
      <c r="H2" s="2"/>
      <c r="I2" s="2" t="s">
        <v>5</v>
      </c>
      <c r="J2" s="2"/>
      <c r="K2" s="2" t="s">
        <v>6</v>
      </c>
      <c r="L2" s="2"/>
      <c r="M2" s="2" t="s">
        <v>7</v>
      </c>
      <c r="N2" s="2"/>
      <c r="O2" s="2" t="s">
        <v>8</v>
      </c>
      <c r="P2" s="2"/>
      <c r="Q2" s="2" t="s">
        <v>9</v>
      </c>
      <c r="R2" s="2"/>
      <c r="S2" s="2" t="s">
        <v>10</v>
      </c>
      <c r="T2" s="2"/>
    </row>
    <row r="3" ht="18" customHeight="1" spans="1:20" x14ac:dyDescent="0.25">
      <c r="A3" s="3">
        <f>=COUNTIF(F16:F111, "Completed")/COUNTA(A16:A111)</f>
        <v>0</v>
      </c>
      <c r="B3" s="3"/>
      <c r="C3" s="3">
        <f>=COUNTIF(F16:F111, "Blocked")</f>
        <v>0</v>
      </c>
      <c r="D3" s="3"/>
      <c r="E3" s="3">
        <f>=COUNTIFS(E16:E111, "Critical", F16:F111, "&lt;&gt;Completed")</f>
        <v>7</v>
      </c>
      <c r="F3" s="3"/>
      <c r="G3" s="3">
        <f>=COUNTIFS('Bug Tracker'!G3:G30, "&lt;&gt;Completed", 'Bug Tracker'!G3:G30, "&lt;&gt;")</f>
        <v>5</v>
      </c>
      <c r="H3" s="3"/>
      <c r="I3" s="3">
        <f>=COUNTIF('Security Checklist'!D3:D14, "Completed")/COUNTA('Security Checklist'!D3:D14)</f>
        <v>0</v>
      </c>
      <c r="J3" s="3"/>
      <c r="K3" s="3">
        <f>=COUNTIF('Deployment Checklist'!D3:D10, "Completed")/COUNTA('Deployment Checklist'!D3:D10)</f>
        <v>0</v>
      </c>
      <c r="L3" s="3"/>
      <c r="M3" s="3">
        <f>=COUNTIFS(F16:F111, "&lt;&gt;Completed", M16:M111, "Yes")</f>
        <v>25</v>
      </c>
      <c r="N3" s="3"/>
      <c r="O3" s="3">
        <f>=COUNTIFS('Security Review Tracker'!C3:C15, "&lt;&gt;Passed", 'Security Review Tracker'!C3:C15, "&lt;&gt;")</f>
        <v>13</v>
      </c>
      <c r="P3" s="3"/>
      <c r="Q3" s="3">
        <f>=COUNTIF('Testing Tracker'!F3:F12, "Passed")/COUNTA('Testing Tracker'!A3:A12)</f>
        <v>0</v>
      </c>
      <c r="R3" s="3"/>
      <c r="S3" s="3">
        <f>=COUNTIF('Integration Tracker'!F3:F12, "Completed")/COUNTA('Integration Tracker'!A3:A12)</f>
        <v>0</v>
      </c>
      <c r="T3" s="3"/>
    </row>
    <row r="4" ht="18" customHeight="1" spans="1:20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0" x14ac:dyDescent="0.25"/>
    <row r="6" ht="20" customHeight="1" spans="1:20" x14ac:dyDescent="0.25">
      <c r="A6" s="4" t="s">
        <v>11</v>
      </c>
      <c r="B6" s="4"/>
      <c r="C6" s="4"/>
      <c r="D6" s="4"/>
      <c r="E6" s="4"/>
      <c r="F6" s="4"/>
      <c r="H6" s="4" t="s">
        <v>12</v>
      </c>
      <c r="I6" s="4"/>
      <c r="J6" s="4"/>
      <c r="K6" s="4"/>
      <c r="L6" s="4"/>
      <c r="M6" s="4"/>
      <c r="O6" s="4" t="s">
        <v>13</v>
      </c>
      <c r="P6" s="4"/>
      <c r="Q6" s="4"/>
      <c r="R6" s="4"/>
    </row>
    <row r="7" ht="18" customHeight="1" spans="1:20" x14ac:dyDescent="0.25">
      <c r="A7" s="5" t="s">
        <v>14</v>
      </c>
      <c r="B7" s="5" t="s">
        <v>15</v>
      </c>
      <c r="C7" s="5" t="s">
        <v>16</v>
      </c>
      <c r="D7" s="5" t="s">
        <v>17</v>
      </c>
      <c r="E7" s="5" t="s">
        <v>18</v>
      </c>
      <c r="F7" s="5" t="s">
        <v>19</v>
      </c>
      <c r="H7" s="5" t="s">
        <v>20</v>
      </c>
      <c r="I7" s="5" t="s">
        <v>21</v>
      </c>
      <c r="J7" s="5" t="s">
        <v>16</v>
      </c>
      <c r="K7" s="5" t="s">
        <v>17</v>
      </c>
      <c r="L7" s="5" t="s">
        <v>18</v>
      </c>
      <c r="M7" s="5" t="s">
        <v>19</v>
      </c>
      <c r="O7" s="5" t="s">
        <v>22</v>
      </c>
      <c r="P7" s="5" t="s">
        <v>21</v>
      </c>
      <c r="Q7" s="5" t="s">
        <v>16</v>
      </c>
      <c r="R7" s="5" t="s">
        <v>19</v>
      </c>
    </row>
    <row r="8" spans="1:20" x14ac:dyDescent="0.25">
      <c r="A8" s="6" t="s">
        <v>23</v>
      </c>
      <c r="B8" s="7">
        <f>=COUNTIF($D$16:$D$111, A8)</f>
        <v>9</v>
      </c>
      <c r="C8" s="7">
        <f>=COUNTIFS($D$16:$D$111, A8, $F$16:$F$111, "Completed")</f>
        <v>0</v>
      </c>
      <c r="D8" s="7">
        <f>=B8-C8-E8</f>
        <v>9</v>
      </c>
      <c r="E8" s="7">
        <f>=COUNTIFS($D$16:$D$111, A8, $F$16:$F$111, "Blocked")</f>
        <v>0</v>
      </c>
      <c r="F8" s="8">
        <f>=IF(B8&gt;0, C8/B8, 0)</f>
        <v>0</v>
      </c>
      <c r="H8" s="6" t="s">
        <v>24</v>
      </c>
      <c r="I8" s="7">
        <f>=COUNTIF($B$16:$B$111, H8)</f>
        <v>20</v>
      </c>
      <c r="J8" s="7">
        <f>=COUNTIFS($B$16:$B$111, H8, $F$16:$F$111, "Completed")</f>
        <v>0</v>
      </c>
      <c r="K8" s="7">
        <f>=I8-J8-L8</f>
        <v>20</v>
      </c>
      <c r="L8" s="7">
        <f>=COUNTIFS($B$16:$B$111, H8, $F$16:$F$111, "Blocked")</f>
        <v>0</v>
      </c>
      <c r="M8" s="8">
        <f>=IF(I8&gt;0, J8/I8, 0)</f>
        <v>0</v>
      </c>
      <c r="O8" s="6" t="s">
        <v>25</v>
      </c>
      <c r="P8" s="7">
        <f>=COUNTIF($H$16:$H$111, O8)</f>
        <v>7</v>
      </c>
      <c r="Q8" s="7">
        <f>=COUNTIFS($H$16:$H$111, O8, $F$16:$F$111, "Completed")</f>
        <v>0</v>
      </c>
      <c r="R8" s="8">
        <f>=IF(P8&gt;0, Q8/P8, 0)</f>
        <v>0</v>
      </c>
    </row>
    <row r="9" spans="1:20" x14ac:dyDescent="0.25">
      <c r="A9" s="9" t="s">
        <v>26</v>
      </c>
      <c r="B9" s="10">
        <f>=COUNTIF($D$16:$D$111, A9)</f>
        <v>30</v>
      </c>
      <c r="C9" s="10">
        <f>=COUNTIFS($D$16:$D$111, A9, $F$16:$F$111, "Completed")</f>
        <v>0</v>
      </c>
      <c r="D9" s="10">
        <f>=B9-C9-E9</f>
        <v>30</v>
      </c>
      <c r="E9" s="10">
        <f>=COUNTIFS($D$16:$D$111, A9, $F$16:$F$111, "Blocked")</f>
        <v>0</v>
      </c>
      <c r="F9" s="11">
        <f>=IF(B9&gt;0, C9/B9, 0)</f>
        <v>0</v>
      </c>
      <c r="H9" s="9" t="s">
        <v>27</v>
      </c>
      <c r="I9" s="10">
        <f>=COUNTIF($B$16:$B$111, H9)</f>
        <v>24</v>
      </c>
      <c r="J9" s="10">
        <f>=COUNTIFS($B$16:$B$111, H9, $F$16:$F$111, "Completed")</f>
        <v>0</v>
      </c>
      <c r="K9" s="10">
        <f>=I9-J9-L9</f>
        <v>24</v>
      </c>
      <c r="L9" s="10">
        <f>=COUNTIFS($B$16:$B$111, H9, $F$16:$F$111, "Blocked")</f>
        <v>0</v>
      </c>
      <c r="M9" s="11">
        <f>=IF(I9&gt;0, J9/I9, 0)</f>
        <v>0</v>
      </c>
      <c r="O9" s="9" t="s">
        <v>28</v>
      </c>
      <c r="P9" s="10">
        <f>=COUNTIF($H$16:$H$111, O9)</f>
        <v>28</v>
      </c>
      <c r="Q9" s="10">
        <f>=COUNTIFS($H$16:$H$111, O9, $F$16:$F$111, "Completed")</f>
        <v>0</v>
      </c>
      <c r="R9" s="11">
        <f>=IF(P9&gt;0, Q9/P9, 0)</f>
        <v>0</v>
      </c>
    </row>
    <row r="10" spans="1:20" x14ac:dyDescent="0.25">
      <c r="A10" s="6" t="s">
        <v>29</v>
      </c>
      <c r="B10" s="7">
        <f>=COUNTIF($D$16:$D$111, A10)</f>
        <v>16</v>
      </c>
      <c r="C10" s="7">
        <f>=COUNTIFS($D$16:$D$111, A10, $F$16:$F$111, "Completed")</f>
        <v>0</v>
      </c>
      <c r="D10" s="7">
        <f>=B10-C10-E10</f>
        <v>16</v>
      </c>
      <c r="E10" s="7">
        <f>=COUNTIFS($D$16:$D$111, A10, $F$16:$F$111, "Blocked")</f>
        <v>0</v>
      </c>
      <c r="F10" s="8">
        <f>=IF(B10&gt;0, C10/B10, 0)</f>
        <v>0</v>
      </c>
      <c r="H10" s="6" t="s">
        <v>30</v>
      </c>
      <c r="I10" s="7">
        <f>=COUNTIF($B$16:$B$111, H10)</f>
        <v>16</v>
      </c>
      <c r="J10" s="7">
        <f>=COUNTIFS($B$16:$B$111, H10, $F$16:$F$111, "Completed")</f>
        <v>0</v>
      </c>
      <c r="K10" s="7">
        <f>=I10-J10-L10</f>
        <v>16</v>
      </c>
      <c r="L10" s="7">
        <f>=COUNTIFS($B$16:$B$111, H10, $F$16:$F$111, "Blocked")</f>
        <v>0</v>
      </c>
      <c r="M10" s="8">
        <f>=IF(I10&gt;0, J10/I10, 0)</f>
        <v>0</v>
      </c>
      <c r="O10" s="6" t="s">
        <v>31</v>
      </c>
      <c r="P10" s="7">
        <f>=COUNTIF($H$16:$H$111, O10)</f>
        <v>11</v>
      </c>
      <c r="Q10" s="7">
        <f>=COUNTIFS($H$16:$H$111, O10, $F$16:$F$111, "Completed")</f>
        <v>0</v>
      </c>
      <c r="R10" s="8">
        <f>=IF(P10&gt;0, Q10/P10, 0)</f>
        <v>0</v>
      </c>
    </row>
    <row r="11" spans="1:20" x14ac:dyDescent="0.25">
      <c r="A11" s="9" t="s">
        <v>32</v>
      </c>
      <c r="B11" s="10">
        <f>=COUNTIF($D$16:$D$111, A11)</f>
        <v>23</v>
      </c>
      <c r="C11" s="10">
        <f>=COUNTIFS($D$16:$D$111, A11, $F$16:$F$111, "Completed")</f>
        <v>0</v>
      </c>
      <c r="D11" s="10">
        <f>=B11-C11-E11</f>
        <v>23</v>
      </c>
      <c r="E11" s="10">
        <f>=COUNTIFS($D$16:$D$111, A11, $F$16:$F$111, "Blocked")</f>
        <v>0</v>
      </c>
      <c r="F11" s="11">
        <f>=IF(B11&gt;0, C11/B11, 0)</f>
        <v>0</v>
      </c>
      <c r="H11" s="9" t="s">
        <v>33</v>
      </c>
      <c r="I11" s="10">
        <f>=COUNTIF($B$16:$B$111, H11)</f>
        <v>9</v>
      </c>
      <c r="J11" s="10">
        <f>=COUNTIFS($B$16:$B$111, H11, $F$16:$F$111, "Completed")</f>
        <v>0</v>
      </c>
      <c r="K11" s="10">
        <f>=I11-J11-L11</f>
        <v>9</v>
      </c>
      <c r="L11" s="10">
        <f>=COUNTIFS($B$16:$B$111, H11, $F$16:$F$111, "Blocked")</f>
        <v>0</v>
      </c>
      <c r="M11" s="11">
        <f>=IF(I11&gt;0, J11/I11, 0)</f>
        <v>0</v>
      </c>
      <c r="O11" s="9" t="s">
        <v>34</v>
      </c>
      <c r="P11" s="10">
        <f>=COUNTIF($H$16:$H$111, O11)</f>
        <v>6</v>
      </c>
      <c r="Q11" s="10">
        <f>=COUNTIFS($H$16:$H$111, O11, $F$16:$F$111, "Completed")</f>
        <v>0</v>
      </c>
      <c r="R11" s="11">
        <f>=IF(P11&gt;0, Q11/P11, 0)</f>
        <v>0</v>
      </c>
    </row>
    <row r="12" spans="1:20" x14ac:dyDescent="0.25">
      <c r="A12" s="6" t="s">
        <v>35</v>
      </c>
      <c r="B12" s="7">
        <f>=COUNTIF($D$16:$D$111, A12)</f>
        <v>9</v>
      </c>
      <c r="C12" s="7">
        <f>=COUNTIFS($D$16:$D$111, A12, $F$16:$F$111, "Completed")</f>
        <v>0</v>
      </c>
      <c r="D12" s="7">
        <f>=B12-C12-E12</f>
        <v>9</v>
      </c>
      <c r="E12" s="7">
        <f>=COUNTIFS($D$16:$D$111, A12, $F$16:$F$111, "Blocked")</f>
        <v>0</v>
      </c>
      <c r="F12" s="8">
        <f>=IF(B12&gt;0, C12/B12, 0)</f>
        <v>0</v>
      </c>
      <c r="H12" s="6" t="s">
        <v>36</v>
      </c>
      <c r="I12" s="7">
        <f>=COUNTIF($B$16:$B$111, H12)</f>
        <v>9</v>
      </c>
      <c r="J12" s="7">
        <f>=COUNTIFS($B$16:$B$111, H12, $F$16:$F$111, "Completed")</f>
        <v>0</v>
      </c>
      <c r="K12" s="7">
        <f>=I12-J12-L12</f>
        <v>9</v>
      </c>
      <c r="L12" s="7">
        <f>=COUNTIFS($B$16:$B$111, H12, $F$16:$F$111, "Blocked")</f>
        <v>0</v>
      </c>
      <c r="M12" s="8">
        <f>=IF(I12&gt;0, J12/I12, 0)</f>
        <v>0</v>
      </c>
      <c r="O12" s="6" t="s">
        <v>37</v>
      </c>
      <c r="P12" s="7">
        <f>=COUNTIF($H$16:$H$111, O12)</f>
        <v>16</v>
      </c>
      <c r="Q12" s="7">
        <f>=COUNTIFS($H$16:$H$111, O12, $F$16:$F$111, "Completed")</f>
        <v>0</v>
      </c>
      <c r="R12" s="8">
        <f>=IF(P12&gt;0, Q12/P12, 0)</f>
        <v>0</v>
      </c>
    </row>
    <row r="13" spans="1:20" x14ac:dyDescent="0.25">
      <c r="A13" s="9" t="s">
        <v>38</v>
      </c>
      <c r="B13" s="10">
        <f>=COUNTIF($D$16:$D$111, A13)</f>
        <v>9</v>
      </c>
      <c r="C13" s="10">
        <f>=COUNTIFS($D$16:$D$111, A13, $F$16:$F$111, "Completed")</f>
        <v>0</v>
      </c>
      <c r="D13" s="10">
        <f>=B13-C13-E13</f>
        <v>9</v>
      </c>
      <c r="E13" s="10">
        <f>=COUNTIFS($D$16:$D$111, A13, $F$16:$F$111, "Blocked")</f>
        <v>0</v>
      </c>
      <c r="F13" s="11">
        <f>=IF(B13&gt;0, C13/B13, 0)</f>
        <v>0</v>
      </c>
      <c r="H13" s="9" t="s">
        <v>39</v>
      </c>
      <c r="I13" s="10">
        <f>=COUNTIF($B$16:$B$111, H13)</f>
        <v>9</v>
      </c>
      <c r="J13" s="10">
        <f>=COUNTIFS($B$16:$B$111, H13, $F$16:$F$111, "Completed")</f>
        <v>0</v>
      </c>
      <c r="K13" s="10">
        <f>=I13-J13-L13</f>
        <v>9</v>
      </c>
      <c r="L13" s="10">
        <f>=COUNTIFS($B$16:$B$111, H13, $F$16:$F$111, "Blocked")</f>
        <v>0</v>
      </c>
      <c r="M13" s="11">
        <f>=IF(I13&gt;0, J13/I13, 0)</f>
        <v>0</v>
      </c>
      <c r="O13" s="9" t="s">
        <v>40</v>
      </c>
      <c r="P13" s="10">
        <f>=COUNTIF($H$16:$H$111, O13)</f>
        <v>16</v>
      </c>
      <c r="Q13" s="10">
        <f>=COUNTIFS($H$16:$H$111, O13, $F$16:$F$111, "Completed")</f>
        <v>0</v>
      </c>
      <c r="R13" s="11">
        <f>=IF(P13&gt;0, Q13/P13, 0)</f>
        <v>0</v>
      </c>
    </row>
    <row r="14" spans="1:20" x14ac:dyDescent="0.25">
      <c r="H14" s="6" t="s">
        <v>41</v>
      </c>
      <c r="I14" s="7">
        <f>=COUNTIF($B$16:$B$111, H14)</f>
        <v>9</v>
      </c>
      <c r="J14" s="7">
        <f>=COUNTIFS($B$16:$B$111, H14, $F$16:$F$111, "Completed")</f>
        <v>0</v>
      </c>
      <c r="K14" s="7">
        <f>=I14-J14-L14</f>
        <v>9</v>
      </c>
      <c r="L14" s="7">
        <f>=COUNTIFS($B$16:$B$111, H14, $F$16:$F$111, "Blocked")</f>
        <v>0</v>
      </c>
      <c r="M14" s="8">
        <f>=IF(I14&gt;0, J14/I14, 0)</f>
        <v>0</v>
      </c>
      <c r="O14" s="6" t="s">
        <v>42</v>
      </c>
      <c r="P14" s="7">
        <f>=COUNTIF($H$16:$H$111, O14)</f>
        <v>6</v>
      </c>
      <c r="Q14" s="7">
        <f>=COUNTIFS($H$16:$H$111, O14, $F$16:$F$111, "Completed")</f>
        <v>0</v>
      </c>
      <c r="R14" s="8">
        <f>=IF(P14&gt;0, Q14/P14, 0)</f>
        <v>0</v>
      </c>
    </row>
    <row r="15" ht="26" customHeight="1" spans="1:20" x14ac:dyDescent="0.25">
      <c r="A15" s="12" t="s">
        <v>43</v>
      </c>
      <c r="B15" s="12" t="s">
        <v>44</v>
      </c>
      <c r="C15" s="12" t="s">
        <v>45</v>
      </c>
      <c r="D15" s="12" t="s">
        <v>46</v>
      </c>
      <c r="E15" s="12" t="s">
        <v>47</v>
      </c>
      <c r="F15" s="12" t="s">
        <v>48</v>
      </c>
      <c r="G15" s="12" t="s">
        <v>49</v>
      </c>
      <c r="H15" s="12" t="s">
        <v>50</v>
      </c>
      <c r="I15" s="12" t="s">
        <v>51</v>
      </c>
      <c r="J15" s="12" t="s">
        <v>52</v>
      </c>
      <c r="K15" s="12" t="s">
        <v>53</v>
      </c>
      <c r="L15" s="12" t="s">
        <v>54</v>
      </c>
      <c r="M15" s="12" t="s">
        <v>55</v>
      </c>
      <c r="O15" s="9" t="s">
        <v>56</v>
      </c>
      <c r="P15" s="10">
        <f>=COUNTIF($H$16:$H$111, O15)</f>
        <v>6</v>
      </c>
      <c r="Q15" s="10">
        <f>=COUNTIFS($H$16:$H$111, O15, $F$16:$F$111, "Completed")</f>
        <v>0</v>
      </c>
      <c r="R15" s="11">
        <f>=IF(P15&gt;0, Q15/P15, 0)</f>
        <v>0</v>
      </c>
    </row>
    <row r="16" spans="1:20" x14ac:dyDescent="0.25">
      <c r="A16" s="13" t="s">
        <v>57</v>
      </c>
      <c r="B16" s="6" t="s">
        <v>41</v>
      </c>
      <c r="C16" s="6" t="s">
        <v>58</v>
      </c>
      <c r="D16" s="6" t="s">
        <v>59</v>
      </c>
      <c r="E16" s="13" t="s">
        <v>60</v>
      </c>
      <c r="F16" s="13" t="s">
        <v>61</v>
      </c>
      <c r="G16" s="14">
        <f>=IF(F16="Completed", 1, IF(F16="In Progress", 0.5, IF(F16="Review", 0.8, 0)))</f>
        <v>0</v>
      </c>
      <c r="H16" s="13" t="s">
        <v>25</v>
      </c>
      <c r="I16" s="13" t="s">
        <v>62</v>
      </c>
      <c r="J16" s="13" t="s">
        <v>17</v>
      </c>
      <c r="K16" s="13" t="s">
        <v>17</v>
      </c>
      <c r="L16" s="6" t="s">
        <v>63</v>
      </c>
      <c r="M16" s="13" t="s">
        <v>64</v>
      </c>
    </row>
    <row r="17" spans="1:20" x14ac:dyDescent="0.25">
      <c r="A17" s="15" t="s">
        <v>65</v>
      </c>
      <c r="B17" s="9" t="s">
        <v>41</v>
      </c>
      <c r="C17" s="9" t="s">
        <v>66</v>
      </c>
      <c r="D17" s="9" t="s">
        <v>26</v>
      </c>
      <c r="E17" s="15" t="s">
        <v>60</v>
      </c>
      <c r="F17" s="15" t="s">
        <v>61</v>
      </c>
      <c r="G17" s="16">
        <f>=IF(F17="Completed", 1, IF(F17="In Progress", 0.5, IF(F17="Review", 0.8, 0)))</f>
        <v>0</v>
      </c>
      <c r="H17" s="15" t="s">
        <v>25</v>
      </c>
      <c r="I17" s="15" t="s">
        <v>62</v>
      </c>
      <c r="J17" s="15" t="s">
        <v>17</v>
      </c>
      <c r="K17" s="15" t="s">
        <v>17</v>
      </c>
      <c r="L17" s="9" t="s">
        <v>67</v>
      </c>
      <c r="M17" s="15" t="s">
        <v>64</v>
      </c>
    </row>
    <row r="18" spans="1:20" x14ac:dyDescent="0.25">
      <c r="A18" s="13" t="s">
        <v>68</v>
      </c>
      <c r="B18" s="6" t="s">
        <v>41</v>
      </c>
      <c r="C18" s="6" t="s">
        <v>69</v>
      </c>
      <c r="D18" s="6" t="s">
        <v>26</v>
      </c>
      <c r="E18" s="13" t="s">
        <v>60</v>
      </c>
      <c r="F18" s="13" t="s">
        <v>61</v>
      </c>
      <c r="G18" s="14">
        <f>=IF(F18="Completed", 1, IF(F18="In Progress", 0.5, IF(F18="Review", 0.8, 0)))</f>
        <v>0</v>
      </c>
      <c r="H18" s="13" t="s">
        <v>25</v>
      </c>
      <c r="I18" s="13" t="s">
        <v>65</v>
      </c>
      <c r="J18" s="13" t="s">
        <v>17</v>
      </c>
      <c r="K18" s="13" t="s">
        <v>17</v>
      </c>
      <c r="L18" s="6" t="s">
        <v>70</v>
      </c>
      <c r="M18" s="13" t="s">
        <v>64</v>
      </c>
    </row>
    <row r="19" spans="1:20" x14ac:dyDescent="0.25">
      <c r="A19" s="15" t="s">
        <v>71</v>
      </c>
      <c r="B19" s="9" t="s">
        <v>41</v>
      </c>
      <c r="C19" s="9" t="s">
        <v>72</v>
      </c>
      <c r="D19" s="9" t="s">
        <v>26</v>
      </c>
      <c r="E19" s="15" t="s">
        <v>73</v>
      </c>
      <c r="F19" s="15" t="s">
        <v>61</v>
      </c>
      <c r="G19" s="16">
        <f>=IF(F19="Completed", 1, IF(F19="In Progress", 0.5, IF(F19="Review", 0.8, 0)))</f>
        <v>0</v>
      </c>
      <c r="H19" s="15" t="s">
        <v>25</v>
      </c>
      <c r="I19" s="15" t="s">
        <v>62</v>
      </c>
      <c r="J19" s="15" t="s">
        <v>17</v>
      </c>
      <c r="K19" s="15" t="s">
        <v>17</v>
      </c>
      <c r="L19" s="9" t="s">
        <v>74</v>
      </c>
      <c r="M19" s="15" t="s">
        <v>64</v>
      </c>
    </row>
    <row r="20" spans="1:20" x14ac:dyDescent="0.25">
      <c r="A20" s="13" t="s">
        <v>75</v>
      </c>
      <c r="B20" s="6" t="s">
        <v>41</v>
      </c>
      <c r="C20" s="6" t="s">
        <v>76</v>
      </c>
      <c r="D20" s="6" t="s">
        <v>32</v>
      </c>
      <c r="E20" s="13" t="s">
        <v>60</v>
      </c>
      <c r="F20" s="13" t="s">
        <v>61</v>
      </c>
      <c r="G20" s="14">
        <f>=IF(F20="Completed", 1, IF(F20="In Progress", 0.5, IF(F20="Review", 0.8, 0)))</f>
        <v>0</v>
      </c>
      <c r="H20" s="13" t="s">
        <v>25</v>
      </c>
      <c r="I20" s="13" t="s">
        <v>62</v>
      </c>
      <c r="J20" s="13" t="s">
        <v>17</v>
      </c>
      <c r="K20" s="13" t="s">
        <v>17</v>
      </c>
      <c r="L20" s="6" t="s">
        <v>77</v>
      </c>
      <c r="M20" s="13" t="s">
        <v>64</v>
      </c>
    </row>
    <row r="21" spans="1:20" x14ac:dyDescent="0.25">
      <c r="A21" s="15" t="s">
        <v>78</v>
      </c>
      <c r="B21" s="9" t="s">
        <v>41</v>
      </c>
      <c r="C21" s="9" t="s">
        <v>79</v>
      </c>
      <c r="D21" s="9" t="s">
        <v>26</v>
      </c>
      <c r="E21" s="15" t="s">
        <v>80</v>
      </c>
      <c r="F21" s="15" t="s">
        <v>61</v>
      </c>
      <c r="G21" s="16">
        <f>=IF(F21="Completed", 1, IF(F21="In Progress", 0.5, IF(F21="Review", 0.8, 0)))</f>
        <v>0</v>
      </c>
      <c r="H21" s="15" t="s">
        <v>25</v>
      </c>
      <c r="I21" s="15" t="s">
        <v>62</v>
      </c>
      <c r="J21" s="15" t="s">
        <v>17</v>
      </c>
      <c r="K21" s="15" t="s">
        <v>17</v>
      </c>
      <c r="L21" s="9" t="s">
        <v>81</v>
      </c>
      <c r="M21" s="15" t="s">
        <v>64</v>
      </c>
    </row>
    <row r="22" spans="1:20" x14ac:dyDescent="0.25">
      <c r="A22" s="13" t="s">
        <v>82</v>
      </c>
      <c r="B22" s="6" t="s">
        <v>41</v>
      </c>
      <c r="C22" s="6" t="s">
        <v>83</v>
      </c>
      <c r="D22" s="6" t="s">
        <v>26</v>
      </c>
      <c r="E22" s="13" t="s">
        <v>80</v>
      </c>
      <c r="F22" s="13" t="s">
        <v>61</v>
      </c>
      <c r="G22" s="14">
        <f>=IF(F22="Completed", 1, IF(F22="In Progress", 0.5, IF(F22="Review", 0.8, 0)))</f>
        <v>0</v>
      </c>
      <c r="H22" s="13" t="s">
        <v>25</v>
      </c>
      <c r="I22" s="13" t="s">
        <v>62</v>
      </c>
      <c r="J22" s="13" t="s">
        <v>17</v>
      </c>
      <c r="K22" s="13" t="s">
        <v>17</v>
      </c>
      <c r="L22" s="6" t="s">
        <v>84</v>
      </c>
      <c r="M22" s="13" t="s">
        <v>64</v>
      </c>
    </row>
    <row r="23" spans="1:20" x14ac:dyDescent="0.25">
      <c r="A23" s="15" t="s">
        <v>85</v>
      </c>
      <c r="B23" s="9" t="s">
        <v>41</v>
      </c>
      <c r="C23" s="9" t="s">
        <v>86</v>
      </c>
      <c r="D23" s="9" t="s">
        <v>32</v>
      </c>
      <c r="E23" s="15" t="s">
        <v>80</v>
      </c>
      <c r="F23" s="15" t="s">
        <v>61</v>
      </c>
      <c r="G23" s="16">
        <f>=IF(F23="Completed", 1, IF(F23="In Progress", 0.5, IF(F23="Review", 0.8, 0)))</f>
        <v>0</v>
      </c>
      <c r="H23" s="15" t="s">
        <v>28</v>
      </c>
      <c r="I23" s="15" t="s">
        <v>75</v>
      </c>
      <c r="J23" s="15" t="s">
        <v>17</v>
      </c>
      <c r="K23" s="15" t="s">
        <v>17</v>
      </c>
      <c r="L23" s="9" t="s">
        <v>87</v>
      </c>
      <c r="M23" s="15" t="s">
        <v>64</v>
      </c>
    </row>
    <row r="24" spans="1:20" x14ac:dyDescent="0.25">
      <c r="A24" s="13" t="s">
        <v>88</v>
      </c>
      <c r="B24" s="6" t="s">
        <v>41</v>
      </c>
      <c r="C24" s="6" t="s">
        <v>89</v>
      </c>
      <c r="D24" s="6" t="s">
        <v>59</v>
      </c>
      <c r="E24" s="13" t="s">
        <v>80</v>
      </c>
      <c r="F24" s="13" t="s">
        <v>61</v>
      </c>
      <c r="G24" s="14">
        <f>=IF(F24="Completed", 1, IF(F24="In Progress", 0.5, IF(F24="Review", 0.8, 0)))</f>
        <v>0</v>
      </c>
      <c r="H24" s="13" t="s">
        <v>56</v>
      </c>
      <c r="I24" s="13" t="s">
        <v>62</v>
      </c>
      <c r="J24" s="13" t="s">
        <v>17</v>
      </c>
      <c r="K24" s="13" t="s">
        <v>17</v>
      </c>
      <c r="L24" s="6" t="s">
        <v>90</v>
      </c>
      <c r="M24" s="13" t="s">
        <v>64</v>
      </c>
    </row>
    <row r="25" spans="1:20" x14ac:dyDescent="0.25">
      <c r="A25" s="15" t="s">
        <v>91</v>
      </c>
      <c r="B25" s="9" t="s">
        <v>30</v>
      </c>
      <c r="C25" s="9" t="s">
        <v>92</v>
      </c>
      <c r="D25" s="9" t="s">
        <v>29</v>
      </c>
      <c r="E25" s="15" t="s">
        <v>73</v>
      </c>
      <c r="F25" s="15" t="s">
        <v>61</v>
      </c>
      <c r="G25" s="16">
        <f>=IF(F25="Completed", 1, IF(F25="In Progress", 0.5, IF(F25="Review", 0.8, 0)))</f>
        <v>0</v>
      </c>
      <c r="H25" s="15" t="s">
        <v>28</v>
      </c>
      <c r="I25" s="15" t="s">
        <v>71</v>
      </c>
      <c r="J25" s="15" t="s">
        <v>17</v>
      </c>
      <c r="K25" s="15" t="s">
        <v>17</v>
      </c>
      <c r="L25" s="9" t="s">
        <v>93</v>
      </c>
      <c r="M25" s="15" t="s">
        <v>64</v>
      </c>
    </row>
    <row r="26" spans="1:20" x14ac:dyDescent="0.25">
      <c r="A26" s="13" t="s">
        <v>94</v>
      </c>
      <c r="B26" s="6" t="s">
        <v>30</v>
      </c>
      <c r="C26" s="6" t="s">
        <v>95</v>
      </c>
      <c r="D26" s="6" t="s">
        <v>29</v>
      </c>
      <c r="E26" s="13" t="s">
        <v>60</v>
      </c>
      <c r="F26" s="13" t="s">
        <v>61</v>
      </c>
      <c r="G26" s="14">
        <f>=IF(F26="Completed", 1, IF(F26="In Progress", 0.5, IF(F26="Review", 0.8, 0)))</f>
        <v>0</v>
      </c>
      <c r="H26" s="13" t="s">
        <v>28</v>
      </c>
      <c r="I26" s="13" t="s">
        <v>91</v>
      </c>
      <c r="J26" s="13" t="s">
        <v>17</v>
      </c>
      <c r="K26" s="13" t="s">
        <v>17</v>
      </c>
      <c r="L26" s="6" t="s">
        <v>96</v>
      </c>
      <c r="M26" s="13" t="s">
        <v>64</v>
      </c>
    </row>
    <row r="27" spans="1:20" x14ac:dyDescent="0.25">
      <c r="A27" s="15" t="s">
        <v>97</v>
      </c>
      <c r="B27" s="9" t="s">
        <v>30</v>
      </c>
      <c r="C27" s="9" t="s">
        <v>98</v>
      </c>
      <c r="D27" s="9" t="s">
        <v>29</v>
      </c>
      <c r="E27" s="15" t="s">
        <v>60</v>
      </c>
      <c r="F27" s="15" t="s">
        <v>61</v>
      </c>
      <c r="G27" s="16">
        <f>=IF(F27="Completed", 1, IF(F27="In Progress", 0.5, IF(F27="Review", 0.8, 0)))</f>
        <v>0</v>
      </c>
      <c r="H27" s="15" t="s">
        <v>28</v>
      </c>
      <c r="I27" s="15" t="s">
        <v>94</v>
      </c>
      <c r="J27" s="15" t="s">
        <v>17</v>
      </c>
      <c r="K27" s="15" t="s">
        <v>17</v>
      </c>
      <c r="L27" s="9" t="s">
        <v>99</v>
      </c>
      <c r="M27" s="15" t="s">
        <v>64</v>
      </c>
    </row>
    <row r="28" spans="1:20" x14ac:dyDescent="0.25">
      <c r="A28" s="13" t="s">
        <v>100</v>
      </c>
      <c r="B28" s="6" t="s">
        <v>30</v>
      </c>
      <c r="C28" s="6" t="s">
        <v>101</v>
      </c>
      <c r="D28" s="6" t="s">
        <v>29</v>
      </c>
      <c r="E28" s="13" t="s">
        <v>80</v>
      </c>
      <c r="F28" s="13" t="s">
        <v>61</v>
      </c>
      <c r="G28" s="14">
        <f>=IF(F28="Completed", 1, IF(F28="In Progress", 0.5, IF(F28="Review", 0.8, 0)))</f>
        <v>0</v>
      </c>
      <c r="H28" s="13" t="s">
        <v>28</v>
      </c>
      <c r="I28" s="13" t="s">
        <v>91</v>
      </c>
      <c r="J28" s="13" t="s">
        <v>17</v>
      </c>
      <c r="K28" s="13" t="s">
        <v>17</v>
      </c>
      <c r="L28" s="6" t="s">
        <v>102</v>
      </c>
      <c r="M28" s="13" t="s">
        <v>64</v>
      </c>
    </row>
    <row r="29" spans="1:20" x14ac:dyDescent="0.25">
      <c r="A29" s="15" t="s">
        <v>103</v>
      </c>
      <c r="B29" s="9" t="s">
        <v>30</v>
      </c>
      <c r="C29" s="9" t="s">
        <v>104</v>
      </c>
      <c r="D29" s="9" t="s">
        <v>29</v>
      </c>
      <c r="E29" s="15" t="s">
        <v>73</v>
      </c>
      <c r="F29" s="15" t="s">
        <v>61</v>
      </c>
      <c r="G29" s="16">
        <f>=IF(F29="Completed", 1, IF(F29="In Progress", 0.5, IF(F29="Review", 0.8, 0)))</f>
        <v>0</v>
      </c>
      <c r="H29" s="15" t="s">
        <v>31</v>
      </c>
      <c r="I29" s="15" t="s">
        <v>91</v>
      </c>
      <c r="J29" s="15" t="s">
        <v>17</v>
      </c>
      <c r="K29" s="15" t="s">
        <v>17</v>
      </c>
      <c r="L29" s="9" t="s">
        <v>105</v>
      </c>
      <c r="M29" s="15" t="s">
        <v>106</v>
      </c>
    </row>
    <row r="30" spans="1:20" x14ac:dyDescent="0.25">
      <c r="A30" s="13" t="s">
        <v>107</v>
      </c>
      <c r="B30" s="6" t="s">
        <v>30</v>
      </c>
      <c r="C30" s="6" t="s">
        <v>108</v>
      </c>
      <c r="D30" s="6" t="s">
        <v>29</v>
      </c>
      <c r="E30" s="13" t="s">
        <v>60</v>
      </c>
      <c r="F30" s="13" t="s">
        <v>61</v>
      </c>
      <c r="G30" s="14">
        <f>=IF(F30="Completed", 1, IF(F30="In Progress", 0.5, IF(F30="Review", 0.8, 0)))</f>
        <v>0</v>
      </c>
      <c r="H30" s="13" t="s">
        <v>31</v>
      </c>
      <c r="I30" s="13" t="s">
        <v>103</v>
      </c>
      <c r="J30" s="13" t="s">
        <v>17</v>
      </c>
      <c r="K30" s="13" t="s">
        <v>17</v>
      </c>
      <c r="L30" s="6" t="s">
        <v>109</v>
      </c>
      <c r="M30" s="13" t="s">
        <v>106</v>
      </c>
    </row>
    <row r="31" spans="1:20" x14ac:dyDescent="0.25">
      <c r="A31" s="15" t="s">
        <v>110</v>
      </c>
      <c r="B31" s="9" t="s">
        <v>30</v>
      </c>
      <c r="C31" s="9" t="s">
        <v>111</v>
      </c>
      <c r="D31" s="9" t="s">
        <v>29</v>
      </c>
      <c r="E31" s="15" t="s">
        <v>80</v>
      </c>
      <c r="F31" s="15" t="s">
        <v>61</v>
      </c>
      <c r="G31" s="16">
        <f>=IF(F31="Completed", 1, IF(F31="In Progress", 0.5, IF(F31="Review", 0.8, 0)))</f>
        <v>0</v>
      </c>
      <c r="H31" s="15" t="s">
        <v>34</v>
      </c>
      <c r="I31" s="15" t="s">
        <v>103</v>
      </c>
      <c r="J31" s="15" t="s">
        <v>17</v>
      </c>
      <c r="K31" s="15" t="s">
        <v>17</v>
      </c>
      <c r="L31" s="9" t="s">
        <v>112</v>
      </c>
      <c r="M31" s="15" t="s">
        <v>106</v>
      </c>
    </row>
    <row r="32" spans="1:20" x14ac:dyDescent="0.25">
      <c r="A32" s="13" t="s">
        <v>113</v>
      </c>
      <c r="B32" s="6" t="s">
        <v>30</v>
      </c>
      <c r="C32" s="6" t="s">
        <v>114</v>
      </c>
      <c r="D32" s="6" t="s">
        <v>29</v>
      </c>
      <c r="E32" s="13" t="s">
        <v>80</v>
      </c>
      <c r="F32" s="13" t="s">
        <v>61</v>
      </c>
      <c r="G32" s="14">
        <f>=IF(F32="Completed", 1, IF(F32="In Progress", 0.5, IF(F32="Review", 0.8, 0)))</f>
        <v>0</v>
      </c>
      <c r="H32" s="13" t="s">
        <v>34</v>
      </c>
      <c r="I32" s="13" t="s">
        <v>103</v>
      </c>
      <c r="J32" s="13" t="s">
        <v>17</v>
      </c>
      <c r="K32" s="13" t="s">
        <v>17</v>
      </c>
      <c r="L32" s="6" t="s">
        <v>115</v>
      </c>
      <c r="M32" s="13" t="s">
        <v>106</v>
      </c>
    </row>
    <row r="33" spans="1:20" x14ac:dyDescent="0.25">
      <c r="A33" s="15" t="s">
        <v>116</v>
      </c>
      <c r="B33" s="9" t="s">
        <v>30</v>
      </c>
      <c r="C33" s="9" t="s">
        <v>117</v>
      </c>
      <c r="D33" s="9" t="s">
        <v>29</v>
      </c>
      <c r="E33" s="15" t="s">
        <v>60</v>
      </c>
      <c r="F33" s="15" t="s">
        <v>61</v>
      </c>
      <c r="G33" s="16">
        <f>=IF(F33="Completed", 1, IF(F33="In Progress", 0.5, IF(F33="Review", 0.8, 0)))</f>
        <v>0</v>
      </c>
      <c r="H33" s="15" t="s">
        <v>37</v>
      </c>
      <c r="I33" s="15" t="s">
        <v>91</v>
      </c>
      <c r="J33" s="15" t="s">
        <v>17</v>
      </c>
      <c r="K33" s="15" t="s">
        <v>17</v>
      </c>
      <c r="L33" s="9" t="s">
        <v>118</v>
      </c>
      <c r="M33" s="15" t="s">
        <v>106</v>
      </c>
    </row>
    <row r="34" spans="1:20" x14ac:dyDescent="0.25">
      <c r="A34" s="13" t="s">
        <v>119</v>
      </c>
      <c r="B34" s="6" t="s">
        <v>30</v>
      </c>
      <c r="C34" s="6" t="s">
        <v>120</v>
      </c>
      <c r="D34" s="6" t="s">
        <v>29</v>
      </c>
      <c r="E34" s="13" t="s">
        <v>80</v>
      </c>
      <c r="F34" s="13" t="s">
        <v>61</v>
      </c>
      <c r="G34" s="14">
        <f>=IF(F34="Completed", 1, IF(F34="In Progress", 0.5, IF(F34="Review", 0.8, 0)))</f>
        <v>0</v>
      </c>
      <c r="H34" s="13" t="s">
        <v>40</v>
      </c>
      <c r="I34" s="13" t="s">
        <v>91</v>
      </c>
      <c r="J34" s="13" t="s">
        <v>17</v>
      </c>
      <c r="K34" s="13" t="s">
        <v>17</v>
      </c>
      <c r="L34" s="6" t="s">
        <v>121</v>
      </c>
      <c r="M34" s="13" t="s">
        <v>64</v>
      </c>
    </row>
    <row r="35" spans="1:20" x14ac:dyDescent="0.25">
      <c r="A35" s="15" t="s">
        <v>122</v>
      </c>
      <c r="B35" s="9" t="s">
        <v>30</v>
      </c>
      <c r="C35" s="9" t="s">
        <v>123</v>
      </c>
      <c r="D35" s="9" t="s">
        <v>29</v>
      </c>
      <c r="E35" s="15" t="s">
        <v>60</v>
      </c>
      <c r="F35" s="15" t="s">
        <v>61</v>
      </c>
      <c r="G35" s="16">
        <f>=IF(F35="Completed", 1, IF(F35="In Progress", 0.5, IF(F35="Review", 0.8, 0)))</f>
        <v>0</v>
      </c>
      <c r="H35" s="15" t="s">
        <v>40</v>
      </c>
      <c r="I35" s="15" t="s">
        <v>91</v>
      </c>
      <c r="J35" s="15" t="s">
        <v>17</v>
      </c>
      <c r="K35" s="15" t="s">
        <v>17</v>
      </c>
      <c r="L35" s="9" t="s">
        <v>124</v>
      </c>
      <c r="M35" s="15" t="s">
        <v>64</v>
      </c>
    </row>
    <row r="36" spans="1:20" x14ac:dyDescent="0.25">
      <c r="A36" s="13" t="s">
        <v>125</v>
      </c>
      <c r="B36" s="6" t="s">
        <v>30</v>
      </c>
      <c r="C36" s="6" t="s">
        <v>126</v>
      </c>
      <c r="D36" s="6" t="s">
        <v>29</v>
      </c>
      <c r="E36" s="13" t="s">
        <v>80</v>
      </c>
      <c r="F36" s="13" t="s">
        <v>61</v>
      </c>
      <c r="G36" s="14">
        <f>=IF(F36="Completed", 1, IF(F36="In Progress", 0.5, IF(F36="Review", 0.8, 0)))</f>
        <v>0</v>
      </c>
      <c r="H36" s="13" t="s">
        <v>37</v>
      </c>
      <c r="I36" s="13" t="s">
        <v>91</v>
      </c>
      <c r="J36" s="13" t="s">
        <v>17</v>
      </c>
      <c r="K36" s="13" t="s">
        <v>17</v>
      </c>
      <c r="L36" s="6" t="s">
        <v>127</v>
      </c>
      <c r="M36" s="13" t="s">
        <v>106</v>
      </c>
    </row>
    <row r="37" spans="1:20" x14ac:dyDescent="0.25">
      <c r="A37" s="15" t="s">
        <v>128</v>
      </c>
      <c r="B37" s="9" t="s">
        <v>30</v>
      </c>
      <c r="C37" s="9" t="s">
        <v>129</v>
      </c>
      <c r="D37" s="9" t="s">
        <v>29</v>
      </c>
      <c r="E37" s="15" t="s">
        <v>60</v>
      </c>
      <c r="F37" s="15" t="s">
        <v>61</v>
      </c>
      <c r="G37" s="16">
        <f>=IF(F37="Completed", 1, IF(F37="In Progress", 0.5, IF(F37="Review", 0.8, 0)))</f>
        <v>0</v>
      </c>
      <c r="H37" s="15" t="s">
        <v>28</v>
      </c>
      <c r="I37" s="15" t="s">
        <v>91</v>
      </c>
      <c r="J37" s="15" t="s">
        <v>17</v>
      </c>
      <c r="K37" s="15" t="s">
        <v>17</v>
      </c>
      <c r="L37" s="9" t="s">
        <v>130</v>
      </c>
      <c r="M37" s="15" t="s">
        <v>64</v>
      </c>
    </row>
    <row r="38" spans="1:20" x14ac:dyDescent="0.25">
      <c r="A38" s="13" t="s">
        <v>131</v>
      </c>
      <c r="B38" s="6" t="s">
        <v>30</v>
      </c>
      <c r="C38" s="6" t="s">
        <v>132</v>
      </c>
      <c r="D38" s="6" t="s">
        <v>29</v>
      </c>
      <c r="E38" s="13" t="s">
        <v>80</v>
      </c>
      <c r="F38" s="13" t="s">
        <v>61</v>
      </c>
      <c r="G38" s="14">
        <f>=IF(F38="Completed", 1, IF(F38="In Progress", 0.5, IF(F38="Review", 0.8, 0)))</f>
        <v>0</v>
      </c>
      <c r="H38" s="13" t="s">
        <v>28</v>
      </c>
      <c r="I38" s="13" t="s">
        <v>94</v>
      </c>
      <c r="J38" s="13" t="s">
        <v>17</v>
      </c>
      <c r="K38" s="13" t="s">
        <v>17</v>
      </c>
      <c r="L38" s="6" t="s">
        <v>133</v>
      </c>
      <c r="M38" s="13" t="s">
        <v>64</v>
      </c>
    </row>
    <row r="39" spans="1:20" x14ac:dyDescent="0.25">
      <c r="A39" s="15" t="s">
        <v>134</v>
      </c>
      <c r="B39" s="9" t="s">
        <v>30</v>
      </c>
      <c r="C39" s="9" t="s">
        <v>135</v>
      </c>
      <c r="D39" s="9" t="s">
        <v>29</v>
      </c>
      <c r="E39" s="15" t="s">
        <v>60</v>
      </c>
      <c r="F39" s="15" t="s">
        <v>61</v>
      </c>
      <c r="G39" s="16">
        <f>=IF(F39="Completed", 1, IF(F39="In Progress", 0.5, IF(F39="Review", 0.8, 0)))</f>
        <v>0</v>
      </c>
      <c r="H39" s="15" t="s">
        <v>28</v>
      </c>
      <c r="I39" s="15" t="s">
        <v>91</v>
      </c>
      <c r="J39" s="15" t="s">
        <v>17</v>
      </c>
      <c r="K39" s="15" t="s">
        <v>17</v>
      </c>
      <c r="L39" s="9" t="s">
        <v>136</v>
      </c>
      <c r="M39" s="15" t="s">
        <v>64</v>
      </c>
    </row>
    <row r="40" spans="1:20" x14ac:dyDescent="0.25">
      <c r="A40" s="13" t="s">
        <v>137</v>
      </c>
      <c r="B40" s="6" t="s">
        <v>30</v>
      </c>
      <c r="C40" s="6" t="s">
        <v>138</v>
      </c>
      <c r="D40" s="6" t="s">
        <v>29</v>
      </c>
      <c r="E40" s="13" t="s">
        <v>80</v>
      </c>
      <c r="F40" s="13" t="s">
        <v>61</v>
      </c>
      <c r="G40" s="14">
        <f>=IF(F40="Completed", 1, IF(F40="In Progress", 0.5, IF(F40="Review", 0.8, 0)))</f>
        <v>0</v>
      </c>
      <c r="H40" s="13" t="s">
        <v>42</v>
      </c>
      <c r="I40" s="13" t="s">
        <v>128</v>
      </c>
      <c r="J40" s="13" t="s">
        <v>17</v>
      </c>
      <c r="K40" s="13" t="s">
        <v>17</v>
      </c>
      <c r="L40" s="6" t="s">
        <v>139</v>
      </c>
      <c r="M40" s="13" t="s">
        <v>64</v>
      </c>
    </row>
    <row r="41" spans="1:20" x14ac:dyDescent="0.25">
      <c r="A41" s="15" t="s">
        <v>140</v>
      </c>
      <c r="B41" s="9" t="s">
        <v>24</v>
      </c>
      <c r="C41" s="9" t="s">
        <v>141</v>
      </c>
      <c r="D41" s="9" t="s">
        <v>32</v>
      </c>
      <c r="E41" s="15" t="s">
        <v>73</v>
      </c>
      <c r="F41" s="15" t="s">
        <v>61</v>
      </c>
      <c r="G41" s="16">
        <f>=IF(F41="Completed", 1, IF(F41="In Progress", 0.5, IF(F41="Review", 0.8, 0)))</f>
        <v>0</v>
      </c>
      <c r="H41" s="15" t="s">
        <v>28</v>
      </c>
      <c r="I41" s="15" t="s">
        <v>75</v>
      </c>
      <c r="J41" s="15" t="s">
        <v>17</v>
      </c>
      <c r="K41" s="15" t="s">
        <v>17</v>
      </c>
      <c r="L41" s="9" t="s">
        <v>142</v>
      </c>
      <c r="M41" s="15" t="s">
        <v>64</v>
      </c>
    </row>
    <row r="42" spans="1:20" x14ac:dyDescent="0.25">
      <c r="A42" s="13" t="s">
        <v>143</v>
      </c>
      <c r="B42" s="6" t="s">
        <v>24</v>
      </c>
      <c r="C42" s="6" t="s">
        <v>144</v>
      </c>
      <c r="D42" s="6" t="s">
        <v>32</v>
      </c>
      <c r="E42" s="13" t="s">
        <v>73</v>
      </c>
      <c r="F42" s="13" t="s">
        <v>61</v>
      </c>
      <c r="G42" s="14">
        <f>=IF(F42="Completed", 1, IF(F42="In Progress", 0.5, IF(F42="Review", 0.8, 0)))</f>
        <v>0</v>
      </c>
      <c r="H42" s="13" t="s">
        <v>28</v>
      </c>
      <c r="I42" s="13" t="s">
        <v>71</v>
      </c>
      <c r="J42" s="13" t="s">
        <v>17</v>
      </c>
      <c r="K42" s="13" t="s">
        <v>17</v>
      </c>
      <c r="L42" s="6" t="s">
        <v>145</v>
      </c>
      <c r="M42" s="13" t="s">
        <v>64</v>
      </c>
    </row>
    <row r="43" spans="1:20" x14ac:dyDescent="0.25">
      <c r="A43" s="15" t="s">
        <v>146</v>
      </c>
      <c r="B43" s="9" t="s">
        <v>24</v>
      </c>
      <c r="C43" s="9" t="s">
        <v>147</v>
      </c>
      <c r="D43" s="9" t="s">
        <v>32</v>
      </c>
      <c r="E43" s="15" t="s">
        <v>60</v>
      </c>
      <c r="F43" s="15" t="s">
        <v>61</v>
      </c>
      <c r="G43" s="16">
        <f>=IF(F43="Completed", 1, IF(F43="In Progress", 0.5, IF(F43="Review", 0.8, 0)))</f>
        <v>0</v>
      </c>
      <c r="H43" s="15" t="s">
        <v>28</v>
      </c>
      <c r="I43" s="15" t="s">
        <v>75</v>
      </c>
      <c r="J43" s="15" t="s">
        <v>17</v>
      </c>
      <c r="K43" s="15" t="s">
        <v>17</v>
      </c>
      <c r="L43" s="9" t="s">
        <v>148</v>
      </c>
      <c r="M43" s="15" t="s">
        <v>64</v>
      </c>
    </row>
    <row r="44" spans="1:20" x14ac:dyDescent="0.25">
      <c r="A44" s="13" t="s">
        <v>149</v>
      </c>
      <c r="B44" s="6" t="s">
        <v>24</v>
      </c>
      <c r="C44" s="6" t="s">
        <v>150</v>
      </c>
      <c r="D44" s="6" t="s">
        <v>32</v>
      </c>
      <c r="E44" s="13" t="s">
        <v>73</v>
      </c>
      <c r="F44" s="13" t="s">
        <v>61</v>
      </c>
      <c r="G44" s="14">
        <f>=IF(F44="Completed", 1, IF(F44="In Progress", 0.5, IF(F44="Review", 0.8, 0)))</f>
        <v>0</v>
      </c>
      <c r="H44" s="13" t="s">
        <v>31</v>
      </c>
      <c r="I44" s="13" t="s">
        <v>140</v>
      </c>
      <c r="J44" s="13" t="s">
        <v>17</v>
      </c>
      <c r="K44" s="13" t="s">
        <v>17</v>
      </c>
      <c r="L44" s="6" t="s">
        <v>151</v>
      </c>
      <c r="M44" s="13" t="s">
        <v>106</v>
      </c>
    </row>
    <row r="45" spans="1:20" x14ac:dyDescent="0.25">
      <c r="A45" s="15" t="s">
        <v>152</v>
      </c>
      <c r="B45" s="9" t="s">
        <v>24</v>
      </c>
      <c r="C45" s="9" t="s">
        <v>153</v>
      </c>
      <c r="D45" s="9" t="s">
        <v>32</v>
      </c>
      <c r="E45" s="15" t="s">
        <v>73</v>
      </c>
      <c r="F45" s="15" t="s">
        <v>61</v>
      </c>
      <c r="G45" s="16">
        <f>=IF(F45="Completed", 1, IF(F45="In Progress", 0.5, IF(F45="Review", 0.8, 0)))</f>
        <v>0</v>
      </c>
      <c r="H45" s="15" t="s">
        <v>31</v>
      </c>
      <c r="I45" s="15" t="s">
        <v>149</v>
      </c>
      <c r="J45" s="15" t="s">
        <v>17</v>
      </c>
      <c r="K45" s="15" t="s">
        <v>17</v>
      </c>
      <c r="L45" s="9" t="s">
        <v>154</v>
      </c>
      <c r="M45" s="15" t="s">
        <v>106</v>
      </c>
    </row>
    <row r="46" spans="1:20" x14ac:dyDescent="0.25">
      <c r="A46" s="13" t="s">
        <v>155</v>
      </c>
      <c r="B46" s="6" t="s">
        <v>24</v>
      </c>
      <c r="C46" s="6" t="s">
        <v>156</v>
      </c>
      <c r="D46" s="6" t="s">
        <v>32</v>
      </c>
      <c r="E46" s="13" t="s">
        <v>60</v>
      </c>
      <c r="F46" s="13" t="s">
        <v>61</v>
      </c>
      <c r="G46" s="14">
        <f>=IF(F46="Completed", 1, IF(F46="In Progress", 0.5, IF(F46="Review", 0.8, 0)))</f>
        <v>0</v>
      </c>
      <c r="H46" s="13" t="s">
        <v>31</v>
      </c>
      <c r="I46" s="13" t="s">
        <v>152</v>
      </c>
      <c r="J46" s="13" t="s">
        <v>17</v>
      </c>
      <c r="K46" s="13" t="s">
        <v>17</v>
      </c>
      <c r="L46" s="6" t="s">
        <v>157</v>
      </c>
      <c r="M46" s="13" t="s">
        <v>64</v>
      </c>
    </row>
    <row r="47" spans="1:20" x14ac:dyDescent="0.25">
      <c r="A47" s="15" t="s">
        <v>158</v>
      </c>
      <c r="B47" s="9" t="s">
        <v>24</v>
      </c>
      <c r="C47" s="9" t="s">
        <v>159</v>
      </c>
      <c r="D47" s="9" t="s">
        <v>32</v>
      </c>
      <c r="E47" s="15" t="s">
        <v>80</v>
      </c>
      <c r="F47" s="15" t="s">
        <v>61</v>
      </c>
      <c r="G47" s="16">
        <f>=IF(F47="Completed", 1, IF(F47="In Progress", 0.5, IF(F47="Review", 0.8, 0)))</f>
        <v>0</v>
      </c>
      <c r="H47" s="15" t="s">
        <v>31</v>
      </c>
      <c r="I47" s="15" t="s">
        <v>152</v>
      </c>
      <c r="J47" s="15" t="s">
        <v>17</v>
      </c>
      <c r="K47" s="15" t="s">
        <v>17</v>
      </c>
      <c r="L47" s="9" t="s">
        <v>160</v>
      </c>
      <c r="M47" s="15" t="s">
        <v>64</v>
      </c>
    </row>
    <row r="48" spans="1:20" x14ac:dyDescent="0.25">
      <c r="A48" s="13" t="s">
        <v>161</v>
      </c>
      <c r="B48" s="6" t="s">
        <v>24</v>
      </c>
      <c r="C48" s="6" t="s">
        <v>162</v>
      </c>
      <c r="D48" s="6" t="s">
        <v>32</v>
      </c>
      <c r="E48" s="13" t="s">
        <v>73</v>
      </c>
      <c r="F48" s="13" t="s">
        <v>61</v>
      </c>
      <c r="G48" s="14">
        <f>=IF(F48="Completed", 1, IF(F48="In Progress", 0.5, IF(F48="Review", 0.8, 0)))</f>
        <v>0</v>
      </c>
      <c r="H48" s="13" t="s">
        <v>28</v>
      </c>
      <c r="I48" s="13" t="s">
        <v>152</v>
      </c>
      <c r="J48" s="13" t="s">
        <v>17</v>
      </c>
      <c r="K48" s="13" t="s">
        <v>17</v>
      </c>
      <c r="L48" s="6" t="s">
        <v>163</v>
      </c>
      <c r="M48" s="13" t="s">
        <v>64</v>
      </c>
    </row>
    <row r="49" spans="1:20" x14ac:dyDescent="0.25">
      <c r="A49" s="15" t="s">
        <v>164</v>
      </c>
      <c r="B49" s="9" t="s">
        <v>24</v>
      </c>
      <c r="C49" s="9" t="s">
        <v>165</v>
      </c>
      <c r="D49" s="9" t="s">
        <v>32</v>
      </c>
      <c r="E49" s="15" t="s">
        <v>60</v>
      </c>
      <c r="F49" s="15" t="s">
        <v>61</v>
      </c>
      <c r="G49" s="16">
        <f>=IF(F49="Completed", 1, IF(F49="In Progress", 0.5, IF(F49="Review", 0.8, 0)))</f>
        <v>0</v>
      </c>
      <c r="H49" s="15" t="s">
        <v>40</v>
      </c>
      <c r="I49" s="15" t="s">
        <v>143</v>
      </c>
      <c r="J49" s="15" t="s">
        <v>17</v>
      </c>
      <c r="K49" s="15" t="s">
        <v>17</v>
      </c>
      <c r="L49" s="9" t="s">
        <v>166</v>
      </c>
      <c r="M49" s="15" t="s">
        <v>64</v>
      </c>
    </row>
    <row r="50" spans="1:20" x14ac:dyDescent="0.25">
      <c r="A50" s="13" t="s">
        <v>167</v>
      </c>
      <c r="B50" s="6" t="s">
        <v>24</v>
      </c>
      <c r="C50" s="6" t="s">
        <v>168</v>
      </c>
      <c r="D50" s="6" t="s">
        <v>32</v>
      </c>
      <c r="E50" s="13" t="s">
        <v>80</v>
      </c>
      <c r="F50" s="13" t="s">
        <v>61</v>
      </c>
      <c r="G50" s="14">
        <f>=IF(F50="Completed", 1, IF(F50="In Progress", 0.5, IF(F50="Review", 0.8, 0)))</f>
        <v>0</v>
      </c>
      <c r="H50" s="13" t="s">
        <v>28</v>
      </c>
      <c r="I50" s="13" t="s">
        <v>140</v>
      </c>
      <c r="J50" s="13" t="s">
        <v>17</v>
      </c>
      <c r="K50" s="13" t="s">
        <v>17</v>
      </c>
      <c r="L50" s="6" t="s">
        <v>169</v>
      </c>
      <c r="M50" s="13" t="s">
        <v>64</v>
      </c>
    </row>
    <row r="51" spans="1:20" x14ac:dyDescent="0.25">
      <c r="A51" s="15" t="s">
        <v>170</v>
      </c>
      <c r="B51" s="9" t="s">
        <v>24</v>
      </c>
      <c r="C51" s="9" t="s">
        <v>171</v>
      </c>
      <c r="D51" s="9" t="s">
        <v>32</v>
      </c>
      <c r="E51" s="15" t="s">
        <v>60</v>
      </c>
      <c r="F51" s="15" t="s">
        <v>61</v>
      </c>
      <c r="G51" s="16">
        <f>=IF(F51="Completed", 1, IF(F51="In Progress", 0.5, IF(F51="Review", 0.8, 0)))</f>
        <v>0</v>
      </c>
      <c r="H51" s="15" t="s">
        <v>28</v>
      </c>
      <c r="I51" s="15" t="s">
        <v>140</v>
      </c>
      <c r="J51" s="15" t="s">
        <v>17</v>
      </c>
      <c r="K51" s="15" t="s">
        <v>17</v>
      </c>
      <c r="L51" s="9" t="s">
        <v>172</v>
      </c>
      <c r="M51" s="15" t="s">
        <v>64</v>
      </c>
    </row>
    <row r="52" spans="1:20" x14ac:dyDescent="0.25">
      <c r="A52" s="13" t="s">
        <v>173</v>
      </c>
      <c r="B52" s="6" t="s">
        <v>24</v>
      </c>
      <c r="C52" s="6" t="s">
        <v>174</v>
      </c>
      <c r="D52" s="6" t="s">
        <v>32</v>
      </c>
      <c r="E52" s="13" t="s">
        <v>60</v>
      </c>
      <c r="F52" s="13" t="s">
        <v>61</v>
      </c>
      <c r="G52" s="14">
        <f>=IF(F52="Completed", 1, IF(F52="In Progress", 0.5, IF(F52="Review", 0.8, 0)))</f>
        <v>0</v>
      </c>
      <c r="H52" s="13" t="s">
        <v>31</v>
      </c>
      <c r="I52" s="13" t="s">
        <v>161</v>
      </c>
      <c r="J52" s="13" t="s">
        <v>17</v>
      </c>
      <c r="K52" s="13" t="s">
        <v>17</v>
      </c>
      <c r="L52" s="6" t="s">
        <v>175</v>
      </c>
      <c r="M52" s="13" t="s">
        <v>106</v>
      </c>
    </row>
    <row r="53" spans="1:20" x14ac:dyDescent="0.25">
      <c r="A53" s="15" t="s">
        <v>176</v>
      </c>
      <c r="B53" s="9" t="s">
        <v>24</v>
      </c>
      <c r="C53" s="9" t="s">
        <v>177</v>
      </c>
      <c r="D53" s="9" t="s">
        <v>32</v>
      </c>
      <c r="E53" s="15" t="s">
        <v>80</v>
      </c>
      <c r="F53" s="15" t="s">
        <v>61</v>
      </c>
      <c r="G53" s="16">
        <f>=IF(F53="Completed", 1, IF(F53="In Progress", 0.5, IF(F53="Review", 0.8, 0)))</f>
        <v>0</v>
      </c>
      <c r="H53" s="15" t="s">
        <v>34</v>
      </c>
      <c r="I53" s="15" t="s">
        <v>161</v>
      </c>
      <c r="J53" s="15" t="s">
        <v>17</v>
      </c>
      <c r="K53" s="15" t="s">
        <v>17</v>
      </c>
      <c r="L53" s="9" t="s">
        <v>178</v>
      </c>
      <c r="M53" s="15" t="s">
        <v>106</v>
      </c>
    </row>
    <row r="54" spans="1:20" x14ac:dyDescent="0.25">
      <c r="A54" s="13" t="s">
        <v>179</v>
      </c>
      <c r="B54" s="6" t="s">
        <v>24</v>
      </c>
      <c r="C54" s="6" t="s">
        <v>180</v>
      </c>
      <c r="D54" s="6" t="s">
        <v>32</v>
      </c>
      <c r="E54" s="13" t="s">
        <v>80</v>
      </c>
      <c r="F54" s="13" t="s">
        <v>61</v>
      </c>
      <c r="G54" s="14">
        <f>=IF(F54="Completed", 1, IF(F54="In Progress", 0.5, IF(F54="Review", 0.8, 0)))</f>
        <v>0</v>
      </c>
      <c r="H54" s="13" t="s">
        <v>34</v>
      </c>
      <c r="I54" s="13" t="s">
        <v>173</v>
      </c>
      <c r="J54" s="13" t="s">
        <v>17</v>
      </c>
      <c r="K54" s="13" t="s">
        <v>17</v>
      </c>
      <c r="L54" s="6" t="s">
        <v>181</v>
      </c>
      <c r="M54" s="13" t="s">
        <v>106</v>
      </c>
    </row>
    <row r="55" spans="1:20" x14ac:dyDescent="0.25">
      <c r="A55" s="15" t="s">
        <v>182</v>
      </c>
      <c r="B55" s="9" t="s">
        <v>24</v>
      </c>
      <c r="C55" s="9" t="s">
        <v>183</v>
      </c>
      <c r="D55" s="9" t="s">
        <v>32</v>
      </c>
      <c r="E55" s="15" t="s">
        <v>60</v>
      </c>
      <c r="F55" s="15" t="s">
        <v>61</v>
      </c>
      <c r="G55" s="16">
        <f>=IF(F55="Completed", 1, IF(F55="In Progress", 0.5, IF(F55="Review", 0.8, 0)))</f>
        <v>0</v>
      </c>
      <c r="H55" s="15" t="s">
        <v>37</v>
      </c>
      <c r="I55" s="15" t="s">
        <v>161</v>
      </c>
      <c r="J55" s="15" t="s">
        <v>17</v>
      </c>
      <c r="K55" s="15" t="s">
        <v>17</v>
      </c>
      <c r="L55" s="9" t="s">
        <v>184</v>
      </c>
      <c r="M55" s="15" t="s">
        <v>106</v>
      </c>
    </row>
    <row r="56" spans="1:20" x14ac:dyDescent="0.25">
      <c r="A56" s="13" t="s">
        <v>185</v>
      </c>
      <c r="B56" s="6" t="s">
        <v>24</v>
      </c>
      <c r="C56" s="6" t="s">
        <v>186</v>
      </c>
      <c r="D56" s="6" t="s">
        <v>32</v>
      </c>
      <c r="E56" s="13" t="s">
        <v>60</v>
      </c>
      <c r="F56" s="13" t="s">
        <v>61</v>
      </c>
      <c r="G56" s="14">
        <f>=IF(F56="Completed", 1, IF(F56="In Progress", 0.5, IF(F56="Review", 0.8, 0)))</f>
        <v>0</v>
      </c>
      <c r="H56" s="13" t="s">
        <v>40</v>
      </c>
      <c r="I56" s="13" t="s">
        <v>161</v>
      </c>
      <c r="J56" s="13" t="s">
        <v>17</v>
      </c>
      <c r="K56" s="13" t="s">
        <v>17</v>
      </c>
      <c r="L56" s="6" t="s">
        <v>187</v>
      </c>
      <c r="M56" s="13" t="s">
        <v>64</v>
      </c>
    </row>
    <row r="57" spans="1:20" x14ac:dyDescent="0.25">
      <c r="A57" s="15" t="s">
        <v>188</v>
      </c>
      <c r="B57" s="9" t="s">
        <v>24</v>
      </c>
      <c r="C57" s="9" t="s">
        <v>189</v>
      </c>
      <c r="D57" s="9" t="s">
        <v>32</v>
      </c>
      <c r="E57" s="15" t="s">
        <v>80</v>
      </c>
      <c r="F57" s="15" t="s">
        <v>61</v>
      </c>
      <c r="G57" s="16">
        <f>=IF(F57="Completed", 1, IF(F57="In Progress", 0.5, IF(F57="Review", 0.8, 0)))</f>
        <v>0</v>
      </c>
      <c r="H57" s="15" t="s">
        <v>40</v>
      </c>
      <c r="I57" s="15" t="s">
        <v>140</v>
      </c>
      <c r="J57" s="15" t="s">
        <v>17</v>
      </c>
      <c r="K57" s="15" t="s">
        <v>17</v>
      </c>
      <c r="L57" s="9" t="s">
        <v>190</v>
      </c>
      <c r="M57" s="15" t="s">
        <v>64</v>
      </c>
    </row>
    <row r="58" spans="1:20" x14ac:dyDescent="0.25">
      <c r="A58" s="13" t="s">
        <v>191</v>
      </c>
      <c r="B58" s="6" t="s">
        <v>24</v>
      </c>
      <c r="C58" s="6" t="s">
        <v>192</v>
      </c>
      <c r="D58" s="6" t="s">
        <v>32</v>
      </c>
      <c r="E58" s="13" t="s">
        <v>60</v>
      </c>
      <c r="F58" s="13" t="s">
        <v>61</v>
      </c>
      <c r="G58" s="14">
        <f>=IF(F58="Completed", 1, IF(F58="In Progress", 0.5, IF(F58="Review", 0.8, 0)))</f>
        <v>0</v>
      </c>
      <c r="H58" s="13" t="s">
        <v>28</v>
      </c>
      <c r="I58" s="13" t="s">
        <v>140</v>
      </c>
      <c r="J58" s="13" t="s">
        <v>17</v>
      </c>
      <c r="K58" s="13" t="s">
        <v>17</v>
      </c>
      <c r="L58" s="6" t="s">
        <v>193</v>
      </c>
      <c r="M58" s="13" t="s">
        <v>64</v>
      </c>
    </row>
    <row r="59" spans="1:20" x14ac:dyDescent="0.25">
      <c r="A59" s="15" t="s">
        <v>194</v>
      </c>
      <c r="B59" s="9" t="s">
        <v>24</v>
      </c>
      <c r="C59" s="9" t="s">
        <v>195</v>
      </c>
      <c r="D59" s="9" t="s">
        <v>32</v>
      </c>
      <c r="E59" s="15" t="s">
        <v>196</v>
      </c>
      <c r="F59" s="15" t="s">
        <v>61</v>
      </c>
      <c r="G59" s="16">
        <f>=IF(F59="Completed", 1, IF(F59="In Progress", 0.5, IF(F59="Review", 0.8, 0)))</f>
        <v>0</v>
      </c>
      <c r="H59" s="15" t="s">
        <v>28</v>
      </c>
      <c r="I59" s="15" t="s">
        <v>140</v>
      </c>
      <c r="J59" s="15" t="s">
        <v>17</v>
      </c>
      <c r="K59" s="15" t="s">
        <v>17</v>
      </c>
      <c r="L59" s="9" t="s">
        <v>197</v>
      </c>
      <c r="M59" s="15" t="s">
        <v>64</v>
      </c>
    </row>
    <row r="60" spans="1:20" x14ac:dyDescent="0.25">
      <c r="A60" s="13" t="s">
        <v>198</v>
      </c>
      <c r="B60" s="6" t="s">
        <v>24</v>
      </c>
      <c r="C60" s="6" t="s">
        <v>199</v>
      </c>
      <c r="D60" s="6" t="s">
        <v>32</v>
      </c>
      <c r="E60" s="13" t="s">
        <v>80</v>
      </c>
      <c r="F60" s="13" t="s">
        <v>61</v>
      </c>
      <c r="G60" s="14">
        <f>=IF(F60="Completed", 1, IF(F60="In Progress", 0.5, IF(F60="Review", 0.8, 0)))</f>
        <v>0</v>
      </c>
      <c r="H60" s="13" t="s">
        <v>40</v>
      </c>
      <c r="I60" s="13" t="s">
        <v>140</v>
      </c>
      <c r="J60" s="13" t="s">
        <v>17</v>
      </c>
      <c r="K60" s="13" t="s">
        <v>17</v>
      </c>
      <c r="L60" s="6" t="s">
        <v>200</v>
      </c>
      <c r="M60" s="13" t="s">
        <v>64</v>
      </c>
    </row>
    <row r="61" spans="1:20" x14ac:dyDescent="0.25">
      <c r="A61" s="15" t="s">
        <v>201</v>
      </c>
      <c r="B61" s="9" t="s">
        <v>27</v>
      </c>
      <c r="C61" s="9" t="s">
        <v>202</v>
      </c>
      <c r="D61" s="9" t="s">
        <v>26</v>
      </c>
      <c r="E61" s="15" t="s">
        <v>60</v>
      </c>
      <c r="F61" s="15" t="s">
        <v>61</v>
      </c>
      <c r="G61" s="16">
        <f>=IF(F61="Completed", 1, IF(F61="In Progress", 0.5, IF(F61="Review", 0.8, 0)))</f>
        <v>0</v>
      </c>
      <c r="H61" s="15" t="s">
        <v>28</v>
      </c>
      <c r="I61" s="15" t="s">
        <v>62</v>
      </c>
      <c r="J61" s="15" t="s">
        <v>17</v>
      </c>
      <c r="K61" s="15" t="s">
        <v>17</v>
      </c>
      <c r="L61" s="9" t="s">
        <v>203</v>
      </c>
      <c r="M61" s="15" t="s">
        <v>64</v>
      </c>
    </row>
    <row r="62" spans="1:20" x14ac:dyDescent="0.25">
      <c r="A62" s="13" t="s">
        <v>204</v>
      </c>
      <c r="B62" s="6" t="s">
        <v>27</v>
      </c>
      <c r="C62" s="6" t="s">
        <v>205</v>
      </c>
      <c r="D62" s="6" t="s">
        <v>26</v>
      </c>
      <c r="E62" s="13" t="s">
        <v>60</v>
      </c>
      <c r="F62" s="13" t="s">
        <v>61</v>
      </c>
      <c r="G62" s="14">
        <f>=IF(F62="Completed", 1, IF(F62="In Progress", 0.5, IF(F62="Review", 0.8, 0)))</f>
        <v>0</v>
      </c>
      <c r="H62" s="13" t="s">
        <v>28</v>
      </c>
      <c r="I62" s="13" t="s">
        <v>201</v>
      </c>
      <c r="J62" s="13" t="s">
        <v>17</v>
      </c>
      <c r="K62" s="13" t="s">
        <v>17</v>
      </c>
      <c r="L62" s="6" t="s">
        <v>206</v>
      </c>
      <c r="M62" s="13" t="s">
        <v>64</v>
      </c>
    </row>
    <row r="63" spans="1:20" x14ac:dyDescent="0.25">
      <c r="A63" s="15" t="s">
        <v>207</v>
      </c>
      <c r="B63" s="9" t="s">
        <v>27</v>
      </c>
      <c r="C63" s="9" t="s">
        <v>208</v>
      </c>
      <c r="D63" s="9" t="s">
        <v>26</v>
      </c>
      <c r="E63" s="15" t="s">
        <v>80</v>
      </c>
      <c r="F63" s="15" t="s">
        <v>61</v>
      </c>
      <c r="G63" s="16">
        <f>=IF(F63="Completed", 1, IF(F63="In Progress", 0.5, IF(F63="Review", 0.8, 0)))</f>
        <v>0</v>
      </c>
      <c r="H63" s="15" t="s">
        <v>28</v>
      </c>
      <c r="I63" s="15" t="s">
        <v>201</v>
      </c>
      <c r="J63" s="15" t="s">
        <v>17</v>
      </c>
      <c r="K63" s="15" t="s">
        <v>17</v>
      </c>
      <c r="L63" s="9" t="s">
        <v>209</v>
      </c>
      <c r="M63" s="15" t="s">
        <v>64</v>
      </c>
    </row>
    <row r="64" spans="1:20" x14ac:dyDescent="0.25">
      <c r="A64" s="13" t="s">
        <v>210</v>
      </c>
      <c r="B64" s="6" t="s">
        <v>27</v>
      </c>
      <c r="C64" s="6" t="s">
        <v>211</v>
      </c>
      <c r="D64" s="6" t="s">
        <v>26</v>
      </c>
      <c r="E64" s="13" t="s">
        <v>60</v>
      </c>
      <c r="F64" s="13" t="s">
        <v>61</v>
      </c>
      <c r="G64" s="14">
        <f>=IF(F64="Completed", 1, IF(F64="In Progress", 0.5, IF(F64="Review", 0.8, 0)))</f>
        <v>0</v>
      </c>
      <c r="H64" s="13" t="s">
        <v>28</v>
      </c>
      <c r="I64" s="13" t="s">
        <v>207</v>
      </c>
      <c r="J64" s="13" t="s">
        <v>17</v>
      </c>
      <c r="K64" s="13" t="s">
        <v>17</v>
      </c>
      <c r="L64" s="6" t="s">
        <v>212</v>
      </c>
      <c r="M64" s="13" t="s">
        <v>64</v>
      </c>
    </row>
    <row r="65" spans="1:20" x14ac:dyDescent="0.25">
      <c r="A65" s="15" t="s">
        <v>213</v>
      </c>
      <c r="B65" s="9" t="s">
        <v>27</v>
      </c>
      <c r="C65" s="9" t="s">
        <v>214</v>
      </c>
      <c r="D65" s="9" t="s">
        <v>26</v>
      </c>
      <c r="E65" s="15" t="s">
        <v>60</v>
      </c>
      <c r="F65" s="15" t="s">
        <v>61</v>
      </c>
      <c r="G65" s="16">
        <f>=IF(F65="Completed", 1, IF(F65="In Progress", 0.5, IF(F65="Review", 0.8, 0)))</f>
        <v>0</v>
      </c>
      <c r="H65" s="15" t="s">
        <v>28</v>
      </c>
      <c r="I65" s="15" t="s">
        <v>201</v>
      </c>
      <c r="J65" s="15" t="s">
        <v>17</v>
      </c>
      <c r="K65" s="15" t="s">
        <v>17</v>
      </c>
      <c r="L65" s="9" t="s">
        <v>215</v>
      </c>
      <c r="M65" s="15" t="s">
        <v>64</v>
      </c>
    </row>
    <row r="66" spans="1:20" x14ac:dyDescent="0.25">
      <c r="A66" s="13" t="s">
        <v>216</v>
      </c>
      <c r="B66" s="6" t="s">
        <v>27</v>
      </c>
      <c r="C66" s="6" t="s">
        <v>217</v>
      </c>
      <c r="D66" s="6" t="s">
        <v>26</v>
      </c>
      <c r="E66" s="13" t="s">
        <v>60</v>
      </c>
      <c r="F66" s="13" t="s">
        <v>61</v>
      </c>
      <c r="G66" s="14">
        <f>=IF(F66="Completed", 1, IF(F66="In Progress", 0.5, IF(F66="Review", 0.8, 0)))</f>
        <v>0</v>
      </c>
      <c r="H66" s="13" t="s">
        <v>28</v>
      </c>
      <c r="I66" s="13" t="s">
        <v>213</v>
      </c>
      <c r="J66" s="13" t="s">
        <v>17</v>
      </c>
      <c r="K66" s="13" t="s">
        <v>17</v>
      </c>
      <c r="L66" s="6" t="s">
        <v>218</v>
      </c>
      <c r="M66" s="13" t="s">
        <v>64</v>
      </c>
    </row>
    <row r="67" spans="1:20" x14ac:dyDescent="0.25">
      <c r="A67" s="15" t="s">
        <v>219</v>
      </c>
      <c r="B67" s="9" t="s">
        <v>27</v>
      </c>
      <c r="C67" s="9" t="s">
        <v>220</v>
      </c>
      <c r="D67" s="9" t="s">
        <v>26</v>
      </c>
      <c r="E67" s="15" t="s">
        <v>60</v>
      </c>
      <c r="F67" s="15" t="s">
        <v>61</v>
      </c>
      <c r="G67" s="16">
        <f>=IF(F67="Completed", 1, IF(F67="In Progress", 0.5, IF(F67="Review", 0.8, 0)))</f>
        <v>0</v>
      </c>
      <c r="H67" s="15" t="s">
        <v>28</v>
      </c>
      <c r="I67" s="15" t="s">
        <v>62</v>
      </c>
      <c r="J67" s="15" t="s">
        <v>17</v>
      </c>
      <c r="K67" s="15" t="s">
        <v>17</v>
      </c>
      <c r="L67" s="9" t="s">
        <v>221</v>
      </c>
      <c r="M67" s="15" t="s">
        <v>64</v>
      </c>
    </row>
    <row r="68" spans="1:20" x14ac:dyDescent="0.25">
      <c r="A68" s="13" t="s">
        <v>222</v>
      </c>
      <c r="B68" s="6" t="s">
        <v>27</v>
      </c>
      <c r="C68" s="6" t="s">
        <v>223</v>
      </c>
      <c r="D68" s="6" t="s">
        <v>26</v>
      </c>
      <c r="E68" s="13" t="s">
        <v>60</v>
      </c>
      <c r="F68" s="13" t="s">
        <v>61</v>
      </c>
      <c r="G68" s="14">
        <f>=IF(F68="Completed", 1, IF(F68="In Progress", 0.5, IF(F68="Review", 0.8, 0)))</f>
        <v>0</v>
      </c>
      <c r="H68" s="13" t="s">
        <v>28</v>
      </c>
      <c r="I68" s="13" t="s">
        <v>219</v>
      </c>
      <c r="J68" s="13" t="s">
        <v>17</v>
      </c>
      <c r="K68" s="13" t="s">
        <v>17</v>
      </c>
      <c r="L68" s="6" t="s">
        <v>224</v>
      </c>
      <c r="M68" s="13" t="s">
        <v>64</v>
      </c>
    </row>
    <row r="69" spans="1:20" x14ac:dyDescent="0.25">
      <c r="A69" s="15" t="s">
        <v>225</v>
      </c>
      <c r="B69" s="9" t="s">
        <v>27</v>
      </c>
      <c r="C69" s="9" t="s">
        <v>226</v>
      </c>
      <c r="D69" s="9" t="s">
        <v>26</v>
      </c>
      <c r="E69" s="15" t="s">
        <v>60</v>
      </c>
      <c r="F69" s="15" t="s">
        <v>61</v>
      </c>
      <c r="G69" s="16">
        <f>=IF(F69="Completed", 1, IF(F69="In Progress", 0.5, IF(F69="Review", 0.8, 0)))</f>
        <v>0</v>
      </c>
      <c r="H69" s="15" t="s">
        <v>31</v>
      </c>
      <c r="I69" s="15" t="s">
        <v>216</v>
      </c>
      <c r="J69" s="15" t="s">
        <v>17</v>
      </c>
      <c r="K69" s="15" t="s">
        <v>17</v>
      </c>
      <c r="L69" s="9" t="s">
        <v>227</v>
      </c>
      <c r="M69" s="15" t="s">
        <v>106</v>
      </c>
    </row>
    <row r="70" spans="1:20" x14ac:dyDescent="0.25">
      <c r="A70" s="13" t="s">
        <v>228</v>
      </c>
      <c r="B70" s="6" t="s">
        <v>27</v>
      </c>
      <c r="C70" s="6" t="s">
        <v>229</v>
      </c>
      <c r="D70" s="6" t="s">
        <v>26</v>
      </c>
      <c r="E70" s="13" t="s">
        <v>60</v>
      </c>
      <c r="F70" s="13" t="s">
        <v>61</v>
      </c>
      <c r="G70" s="14">
        <f>=IF(F70="Completed", 1, IF(F70="In Progress", 0.5, IF(F70="Review", 0.8, 0)))</f>
        <v>0</v>
      </c>
      <c r="H70" s="13" t="s">
        <v>31</v>
      </c>
      <c r="I70" s="13" t="s">
        <v>216</v>
      </c>
      <c r="J70" s="13" t="s">
        <v>17</v>
      </c>
      <c r="K70" s="13" t="s">
        <v>17</v>
      </c>
      <c r="L70" s="6" t="s">
        <v>230</v>
      </c>
      <c r="M70" s="13" t="s">
        <v>106</v>
      </c>
    </row>
    <row r="71" spans="1:20" x14ac:dyDescent="0.25">
      <c r="A71" s="15" t="s">
        <v>231</v>
      </c>
      <c r="B71" s="9" t="s">
        <v>27</v>
      </c>
      <c r="C71" s="9" t="s">
        <v>232</v>
      </c>
      <c r="D71" s="9" t="s">
        <v>26</v>
      </c>
      <c r="E71" s="15" t="s">
        <v>60</v>
      </c>
      <c r="F71" s="15" t="s">
        <v>61</v>
      </c>
      <c r="G71" s="16">
        <f>=IF(F71="Completed", 1, IF(F71="In Progress", 0.5, IF(F71="Review", 0.8, 0)))</f>
        <v>0</v>
      </c>
      <c r="H71" s="15" t="s">
        <v>31</v>
      </c>
      <c r="I71" s="15" t="s">
        <v>228</v>
      </c>
      <c r="J71" s="15" t="s">
        <v>17</v>
      </c>
      <c r="K71" s="15" t="s">
        <v>17</v>
      </c>
      <c r="L71" s="9" t="s">
        <v>233</v>
      </c>
      <c r="M71" s="15" t="s">
        <v>106</v>
      </c>
    </row>
    <row r="72" spans="1:20" x14ac:dyDescent="0.25">
      <c r="A72" s="13" t="s">
        <v>234</v>
      </c>
      <c r="B72" s="6" t="s">
        <v>27</v>
      </c>
      <c r="C72" s="6" t="s">
        <v>235</v>
      </c>
      <c r="D72" s="6" t="s">
        <v>26</v>
      </c>
      <c r="E72" s="13" t="s">
        <v>80</v>
      </c>
      <c r="F72" s="13" t="s">
        <v>61</v>
      </c>
      <c r="G72" s="14">
        <f>=IF(F72="Completed", 1, IF(F72="In Progress", 0.5, IF(F72="Review", 0.8, 0)))</f>
        <v>0</v>
      </c>
      <c r="H72" s="13" t="s">
        <v>34</v>
      </c>
      <c r="I72" s="13" t="s">
        <v>222</v>
      </c>
      <c r="J72" s="13" t="s">
        <v>17</v>
      </c>
      <c r="K72" s="13" t="s">
        <v>17</v>
      </c>
      <c r="L72" s="6" t="s">
        <v>236</v>
      </c>
      <c r="M72" s="13" t="s">
        <v>106</v>
      </c>
    </row>
    <row r="73" spans="1:20" x14ac:dyDescent="0.25">
      <c r="A73" s="15" t="s">
        <v>237</v>
      </c>
      <c r="B73" s="9" t="s">
        <v>27</v>
      </c>
      <c r="C73" s="9" t="s">
        <v>238</v>
      </c>
      <c r="D73" s="9" t="s">
        <v>26</v>
      </c>
      <c r="E73" s="15" t="s">
        <v>80</v>
      </c>
      <c r="F73" s="15" t="s">
        <v>61</v>
      </c>
      <c r="G73" s="16">
        <f>=IF(F73="Completed", 1, IF(F73="In Progress", 0.5, IF(F73="Review", 0.8, 0)))</f>
        <v>0</v>
      </c>
      <c r="H73" s="15" t="s">
        <v>34</v>
      </c>
      <c r="I73" s="15" t="s">
        <v>231</v>
      </c>
      <c r="J73" s="15" t="s">
        <v>17</v>
      </c>
      <c r="K73" s="15" t="s">
        <v>17</v>
      </c>
      <c r="L73" s="9" t="s">
        <v>239</v>
      </c>
      <c r="M73" s="15" t="s">
        <v>106</v>
      </c>
    </row>
    <row r="74" spans="1:20" x14ac:dyDescent="0.25">
      <c r="A74" s="13" t="s">
        <v>240</v>
      </c>
      <c r="B74" s="6" t="s">
        <v>27</v>
      </c>
      <c r="C74" s="6" t="s">
        <v>241</v>
      </c>
      <c r="D74" s="6" t="s">
        <v>26</v>
      </c>
      <c r="E74" s="13" t="s">
        <v>60</v>
      </c>
      <c r="F74" s="13" t="s">
        <v>61</v>
      </c>
      <c r="G74" s="14">
        <f>=IF(F74="Completed", 1, IF(F74="In Progress", 0.5, IF(F74="Review", 0.8, 0)))</f>
        <v>0</v>
      </c>
      <c r="H74" s="13" t="s">
        <v>37</v>
      </c>
      <c r="I74" s="13" t="s">
        <v>216</v>
      </c>
      <c r="J74" s="13" t="s">
        <v>17</v>
      </c>
      <c r="K74" s="13" t="s">
        <v>17</v>
      </c>
      <c r="L74" s="6" t="s">
        <v>242</v>
      </c>
      <c r="M74" s="13" t="s">
        <v>106</v>
      </c>
    </row>
    <row r="75" spans="1:20" x14ac:dyDescent="0.25">
      <c r="A75" s="15" t="s">
        <v>243</v>
      </c>
      <c r="B75" s="9" t="s">
        <v>27</v>
      </c>
      <c r="C75" s="9" t="s">
        <v>244</v>
      </c>
      <c r="D75" s="9" t="s">
        <v>26</v>
      </c>
      <c r="E75" s="15" t="s">
        <v>60</v>
      </c>
      <c r="F75" s="15" t="s">
        <v>61</v>
      </c>
      <c r="G75" s="16">
        <f>=IF(F75="Completed", 1, IF(F75="In Progress", 0.5, IF(F75="Review", 0.8, 0)))</f>
        <v>0</v>
      </c>
      <c r="H75" s="15" t="s">
        <v>37</v>
      </c>
      <c r="I75" s="15" t="s">
        <v>240</v>
      </c>
      <c r="J75" s="15" t="s">
        <v>17</v>
      </c>
      <c r="K75" s="15" t="s">
        <v>17</v>
      </c>
      <c r="L75" s="9" t="s">
        <v>245</v>
      </c>
      <c r="M75" s="15" t="s">
        <v>106</v>
      </c>
    </row>
    <row r="76" spans="1:20" x14ac:dyDescent="0.25">
      <c r="A76" s="13" t="s">
        <v>246</v>
      </c>
      <c r="B76" s="6" t="s">
        <v>27</v>
      </c>
      <c r="C76" s="6" t="s">
        <v>247</v>
      </c>
      <c r="D76" s="6" t="s">
        <v>26</v>
      </c>
      <c r="E76" s="13" t="s">
        <v>80</v>
      </c>
      <c r="F76" s="13" t="s">
        <v>61</v>
      </c>
      <c r="G76" s="14">
        <f>=IF(F76="Completed", 1, IF(F76="In Progress", 0.5, IF(F76="Review", 0.8, 0)))</f>
        <v>0</v>
      </c>
      <c r="H76" s="13" t="s">
        <v>37</v>
      </c>
      <c r="I76" s="13" t="s">
        <v>222</v>
      </c>
      <c r="J76" s="13" t="s">
        <v>17</v>
      </c>
      <c r="K76" s="13" t="s">
        <v>17</v>
      </c>
      <c r="L76" s="6" t="s">
        <v>248</v>
      </c>
      <c r="M76" s="13" t="s">
        <v>106</v>
      </c>
    </row>
    <row r="77" spans="1:20" x14ac:dyDescent="0.25">
      <c r="A77" s="15" t="s">
        <v>249</v>
      </c>
      <c r="B77" s="9" t="s">
        <v>27</v>
      </c>
      <c r="C77" s="9" t="s">
        <v>250</v>
      </c>
      <c r="D77" s="9" t="s">
        <v>26</v>
      </c>
      <c r="E77" s="15" t="s">
        <v>60</v>
      </c>
      <c r="F77" s="15" t="s">
        <v>61</v>
      </c>
      <c r="G77" s="16">
        <f>=IF(F77="Completed", 1, IF(F77="In Progress", 0.5, IF(F77="Review", 0.8, 0)))</f>
        <v>0</v>
      </c>
      <c r="H77" s="15" t="s">
        <v>40</v>
      </c>
      <c r="I77" s="15" t="s">
        <v>216</v>
      </c>
      <c r="J77" s="15" t="s">
        <v>17</v>
      </c>
      <c r="K77" s="15" t="s">
        <v>17</v>
      </c>
      <c r="L77" s="9" t="s">
        <v>251</v>
      </c>
      <c r="M77" s="15" t="s">
        <v>106</v>
      </c>
    </row>
    <row r="78" spans="1:20" x14ac:dyDescent="0.25">
      <c r="A78" s="13" t="s">
        <v>252</v>
      </c>
      <c r="B78" s="6" t="s">
        <v>27</v>
      </c>
      <c r="C78" s="6" t="s">
        <v>253</v>
      </c>
      <c r="D78" s="6" t="s">
        <v>26</v>
      </c>
      <c r="E78" s="13" t="s">
        <v>80</v>
      </c>
      <c r="F78" s="13" t="s">
        <v>61</v>
      </c>
      <c r="G78" s="14">
        <f>=IF(F78="Completed", 1, IF(F78="In Progress", 0.5, IF(F78="Review", 0.8, 0)))</f>
        <v>0</v>
      </c>
      <c r="H78" s="13" t="s">
        <v>40</v>
      </c>
      <c r="I78" s="13" t="s">
        <v>222</v>
      </c>
      <c r="J78" s="13" t="s">
        <v>17</v>
      </c>
      <c r="K78" s="13" t="s">
        <v>17</v>
      </c>
      <c r="L78" s="6" t="s">
        <v>254</v>
      </c>
      <c r="M78" s="13" t="s">
        <v>64</v>
      </c>
    </row>
    <row r="79" spans="1:20" x14ac:dyDescent="0.25">
      <c r="A79" s="15" t="s">
        <v>255</v>
      </c>
      <c r="B79" s="9" t="s">
        <v>27</v>
      </c>
      <c r="C79" s="9" t="s">
        <v>256</v>
      </c>
      <c r="D79" s="9" t="s">
        <v>26</v>
      </c>
      <c r="E79" s="15" t="s">
        <v>80</v>
      </c>
      <c r="F79" s="15" t="s">
        <v>61</v>
      </c>
      <c r="G79" s="16">
        <f>=IF(F79="Completed", 1, IF(F79="In Progress", 0.5, IF(F79="Review", 0.8, 0)))</f>
        <v>0</v>
      </c>
      <c r="H79" s="15" t="s">
        <v>28</v>
      </c>
      <c r="I79" s="15" t="s">
        <v>204</v>
      </c>
      <c r="J79" s="15" t="s">
        <v>17</v>
      </c>
      <c r="K79" s="15" t="s">
        <v>17</v>
      </c>
      <c r="L79" s="9" t="s">
        <v>257</v>
      </c>
      <c r="M79" s="15" t="s">
        <v>64</v>
      </c>
    </row>
    <row r="80" spans="1:20" x14ac:dyDescent="0.25">
      <c r="A80" s="13" t="s">
        <v>258</v>
      </c>
      <c r="B80" s="6" t="s">
        <v>27</v>
      </c>
      <c r="C80" s="6" t="s">
        <v>259</v>
      </c>
      <c r="D80" s="6" t="s">
        <v>26</v>
      </c>
      <c r="E80" s="13" t="s">
        <v>80</v>
      </c>
      <c r="F80" s="13" t="s">
        <v>61</v>
      </c>
      <c r="G80" s="14">
        <f>=IF(F80="Completed", 1, IF(F80="In Progress", 0.5, IF(F80="Review", 0.8, 0)))</f>
        <v>0</v>
      </c>
      <c r="H80" s="13" t="s">
        <v>42</v>
      </c>
      <c r="I80" s="13" t="s">
        <v>210</v>
      </c>
      <c r="J80" s="13" t="s">
        <v>17</v>
      </c>
      <c r="K80" s="13" t="s">
        <v>17</v>
      </c>
      <c r="L80" s="6" t="s">
        <v>260</v>
      </c>
      <c r="M80" s="13" t="s">
        <v>64</v>
      </c>
    </row>
    <row r="81" spans="1:20" x14ac:dyDescent="0.25">
      <c r="A81" s="15" t="s">
        <v>261</v>
      </c>
      <c r="B81" s="9" t="s">
        <v>27</v>
      </c>
      <c r="C81" s="9" t="s">
        <v>262</v>
      </c>
      <c r="D81" s="9" t="s">
        <v>26</v>
      </c>
      <c r="E81" s="15" t="s">
        <v>60</v>
      </c>
      <c r="F81" s="15" t="s">
        <v>61</v>
      </c>
      <c r="G81" s="16">
        <f>=IF(F81="Completed", 1, IF(F81="In Progress", 0.5, IF(F81="Review", 0.8, 0)))</f>
        <v>0</v>
      </c>
      <c r="H81" s="15" t="s">
        <v>40</v>
      </c>
      <c r="I81" s="15" t="s">
        <v>222</v>
      </c>
      <c r="J81" s="15" t="s">
        <v>17</v>
      </c>
      <c r="K81" s="15" t="s">
        <v>17</v>
      </c>
      <c r="L81" s="9" t="s">
        <v>263</v>
      </c>
      <c r="M81" s="15" t="s">
        <v>64</v>
      </c>
    </row>
    <row r="82" spans="1:20" x14ac:dyDescent="0.25">
      <c r="A82" s="13" t="s">
        <v>264</v>
      </c>
      <c r="B82" s="6" t="s">
        <v>27</v>
      </c>
      <c r="C82" s="6" t="s">
        <v>265</v>
      </c>
      <c r="D82" s="6" t="s">
        <v>26</v>
      </c>
      <c r="E82" s="13" t="s">
        <v>196</v>
      </c>
      <c r="F82" s="13" t="s">
        <v>61</v>
      </c>
      <c r="G82" s="14">
        <f>=IF(F82="Completed", 1, IF(F82="In Progress", 0.5, IF(F82="Review", 0.8, 0)))</f>
        <v>0</v>
      </c>
      <c r="H82" s="13" t="s">
        <v>28</v>
      </c>
      <c r="I82" s="13" t="s">
        <v>201</v>
      </c>
      <c r="J82" s="13" t="s">
        <v>17</v>
      </c>
      <c r="K82" s="13" t="s">
        <v>17</v>
      </c>
      <c r="L82" s="6" t="s">
        <v>266</v>
      </c>
      <c r="M82" s="13" t="s">
        <v>64</v>
      </c>
    </row>
    <row r="83" spans="1:20" x14ac:dyDescent="0.25">
      <c r="A83" s="15" t="s">
        <v>267</v>
      </c>
      <c r="B83" s="9" t="s">
        <v>27</v>
      </c>
      <c r="C83" s="9" t="s">
        <v>268</v>
      </c>
      <c r="D83" s="9" t="s">
        <v>26</v>
      </c>
      <c r="E83" s="15" t="s">
        <v>196</v>
      </c>
      <c r="F83" s="15" t="s">
        <v>61</v>
      </c>
      <c r="G83" s="16">
        <f>=IF(F83="Completed", 1, IF(F83="In Progress", 0.5, IF(F83="Review", 0.8, 0)))</f>
        <v>0</v>
      </c>
      <c r="H83" s="15" t="s">
        <v>28</v>
      </c>
      <c r="I83" s="15" t="s">
        <v>201</v>
      </c>
      <c r="J83" s="15" t="s">
        <v>17</v>
      </c>
      <c r="K83" s="15" t="s">
        <v>17</v>
      </c>
      <c r="L83" s="9" t="s">
        <v>269</v>
      </c>
      <c r="M83" s="15" t="s">
        <v>64</v>
      </c>
    </row>
    <row r="84" spans="1:20" x14ac:dyDescent="0.25">
      <c r="A84" s="13" t="s">
        <v>270</v>
      </c>
      <c r="B84" s="6" t="s">
        <v>27</v>
      </c>
      <c r="C84" s="6" t="s">
        <v>271</v>
      </c>
      <c r="D84" s="6" t="s">
        <v>26</v>
      </c>
      <c r="E84" s="13" t="s">
        <v>60</v>
      </c>
      <c r="F84" s="13" t="s">
        <v>61</v>
      </c>
      <c r="G84" s="14">
        <f>=IF(F84="Completed", 1, IF(F84="In Progress", 0.5, IF(F84="Review", 0.8, 0)))</f>
        <v>0</v>
      </c>
      <c r="H84" s="13" t="s">
        <v>56</v>
      </c>
      <c r="I84" s="13" t="s">
        <v>261</v>
      </c>
      <c r="J84" s="13" t="s">
        <v>17</v>
      </c>
      <c r="K84" s="13" t="s">
        <v>17</v>
      </c>
      <c r="L84" s="6" t="s">
        <v>272</v>
      </c>
      <c r="M84" s="13" t="s">
        <v>64</v>
      </c>
    </row>
    <row r="85" spans="1:20" x14ac:dyDescent="0.25">
      <c r="A85" s="15" t="s">
        <v>273</v>
      </c>
      <c r="B85" s="9" t="s">
        <v>33</v>
      </c>
      <c r="C85" s="9" t="s">
        <v>274</v>
      </c>
      <c r="D85" s="9" t="s">
        <v>38</v>
      </c>
      <c r="E85" s="15" t="s">
        <v>60</v>
      </c>
      <c r="F85" s="15" t="s">
        <v>61</v>
      </c>
      <c r="G85" s="16">
        <f>=IF(F85="Completed", 1, IF(F85="In Progress", 0.5, IF(F85="Review", 0.8, 0)))</f>
        <v>0</v>
      </c>
      <c r="H85" s="15" t="s">
        <v>37</v>
      </c>
      <c r="I85" s="15" t="s">
        <v>62</v>
      </c>
      <c r="J85" s="15" t="s">
        <v>17</v>
      </c>
      <c r="K85" s="15" t="s">
        <v>17</v>
      </c>
      <c r="L85" s="9" t="s">
        <v>275</v>
      </c>
      <c r="M85" s="15" t="s">
        <v>64</v>
      </c>
    </row>
    <row r="86" spans="1:20" x14ac:dyDescent="0.25">
      <c r="A86" s="13" t="s">
        <v>276</v>
      </c>
      <c r="B86" s="6" t="s">
        <v>33</v>
      </c>
      <c r="C86" s="6" t="s">
        <v>277</v>
      </c>
      <c r="D86" s="6" t="s">
        <v>38</v>
      </c>
      <c r="E86" s="13" t="s">
        <v>80</v>
      </c>
      <c r="F86" s="13" t="s">
        <v>61</v>
      </c>
      <c r="G86" s="14">
        <f>=IF(F86="Completed", 1, IF(F86="In Progress", 0.5, IF(F86="Review", 0.8, 0)))</f>
        <v>0</v>
      </c>
      <c r="H86" s="13" t="s">
        <v>37</v>
      </c>
      <c r="I86" s="13" t="s">
        <v>273</v>
      </c>
      <c r="J86" s="13" t="s">
        <v>17</v>
      </c>
      <c r="K86" s="13" t="s">
        <v>17</v>
      </c>
      <c r="L86" s="6" t="s">
        <v>278</v>
      </c>
      <c r="M86" s="13" t="s">
        <v>64</v>
      </c>
    </row>
    <row r="87" spans="1:20" x14ac:dyDescent="0.25">
      <c r="A87" s="15" t="s">
        <v>279</v>
      </c>
      <c r="B87" s="9" t="s">
        <v>33</v>
      </c>
      <c r="C87" s="9" t="s">
        <v>280</v>
      </c>
      <c r="D87" s="9" t="s">
        <v>38</v>
      </c>
      <c r="E87" s="15" t="s">
        <v>60</v>
      </c>
      <c r="F87" s="15" t="s">
        <v>61</v>
      </c>
      <c r="G87" s="16">
        <f>=IF(F87="Completed", 1, IF(F87="In Progress", 0.5, IF(F87="Review", 0.8, 0)))</f>
        <v>0</v>
      </c>
      <c r="H87" s="15" t="s">
        <v>37</v>
      </c>
      <c r="I87" s="15" t="s">
        <v>273</v>
      </c>
      <c r="J87" s="15" t="s">
        <v>17</v>
      </c>
      <c r="K87" s="15" t="s">
        <v>17</v>
      </c>
      <c r="L87" s="9" t="s">
        <v>281</v>
      </c>
      <c r="M87" s="15" t="s">
        <v>106</v>
      </c>
    </row>
    <row r="88" spans="1:20" x14ac:dyDescent="0.25">
      <c r="A88" s="13" t="s">
        <v>282</v>
      </c>
      <c r="B88" s="6" t="s">
        <v>33</v>
      </c>
      <c r="C88" s="6" t="s">
        <v>283</v>
      </c>
      <c r="D88" s="6" t="s">
        <v>38</v>
      </c>
      <c r="E88" s="13" t="s">
        <v>80</v>
      </c>
      <c r="F88" s="13" t="s">
        <v>61</v>
      </c>
      <c r="G88" s="14">
        <f>=IF(F88="Completed", 1, IF(F88="In Progress", 0.5, IF(F88="Review", 0.8, 0)))</f>
        <v>0</v>
      </c>
      <c r="H88" s="13" t="s">
        <v>40</v>
      </c>
      <c r="I88" s="13" t="s">
        <v>62</v>
      </c>
      <c r="J88" s="13" t="s">
        <v>17</v>
      </c>
      <c r="K88" s="13" t="s">
        <v>17</v>
      </c>
      <c r="L88" s="6" t="s">
        <v>284</v>
      </c>
      <c r="M88" s="13" t="s">
        <v>64</v>
      </c>
    </row>
    <row r="89" spans="1:20" x14ac:dyDescent="0.25">
      <c r="A89" s="15" t="s">
        <v>285</v>
      </c>
      <c r="B89" s="9" t="s">
        <v>33</v>
      </c>
      <c r="C89" s="9" t="s">
        <v>286</v>
      </c>
      <c r="D89" s="9" t="s">
        <v>38</v>
      </c>
      <c r="E89" s="15" t="s">
        <v>80</v>
      </c>
      <c r="F89" s="15" t="s">
        <v>61</v>
      </c>
      <c r="G89" s="16">
        <f>=IF(F89="Completed", 1, IF(F89="In Progress", 0.5, IF(F89="Review", 0.8, 0)))</f>
        <v>0</v>
      </c>
      <c r="H89" s="15" t="s">
        <v>40</v>
      </c>
      <c r="I89" s="15" t="s">
        <v>282</v>
      </c>
      <c r="J89" s="15" t="s">
        <v>17</v>
      </c>
      <c r="K89" s="15" t="s">
        <v>17</v>
      </c>
      <c r="L89" s="9" t="s">
        <v>287</v>
      </c>
      <c r="M89" s="15" t="s">
        <v>64</v>
      </c>
    </row>
    <row r="90" spans="1:20" x14ac:dyDescent="0.25">
      <c r="A90" s="13" t="s">
        <v>288</v>
      </c>
      <c r="B90" s="6" t="s">
        <v>33</v>
      </c>
      <c r="C90" s="6" t="s">
        <v>289</v>
      </c>
      <c r="D90" s="6" t="s">
        <v>38</v>
      </c>
      <c r="E90" s="13" t="s">
        <v>73</v>
      </c>
      <c r="F90" s="13" t="s">
        <v>61</v>
      </c>
      <c r="G90" s="14">
        <f>=IF(F90="Completed", 1, IF(F90="In Progress", 0.5, IF(F90="Review", 0.8, 0)))</f>
        <v>0</v>
      </c>
      <c r="H90" s="13" t="s">
        <v>37</v>
      </c>
      <c r="I90" s="13" t="s">
        <v>62</v>
      </c>
      <c r="J90" s="13" t="s">
        <v>17</v>
      </c>
      <c r="K90" s="13" t="s">
        <v>17</v>
      </c>
      <c r="L90" s="6" t="s">
        <v>290</v>
      </c>
      <c r="M90" s="13" t="s">
        <v>106</v>
      </c>
    </row>
    <row r="91" spans="1:20" x14ac:dyDescent="0.25">
      <c r="A91" s="15" t="s">
        <v>291</v>
      </c>
      <c r="B91" s="9" t="s">
        <v>33</v>
      </c>
      <c r="C91" s="9" t="s">
        <v>292</v>
      </c>
      <c r="D91" s="9" t="s">
        <v>38</v>
      </c>
      <c r="E91" s="15" t="s">
        <v>60</v>
      </c>
      <c r="F91" s="15" t="s">
        <v>61</v>
      </c>
      <c r="G91" s="16">
        <f>=IF(F91="Completed", 1, IF(F91="In Progress", 0.5, IF(F91="Review", 0.8, 0)))</f>
        <v>0</v>
      </c>
      <c r="H91" s="15" t="s">
        <v>37</v>
      </c>
      <c r="I91" s="15" t="s">
        <v>288</v>
      </c>
      <c r="J91" s="15" t="s">
        <v>17</v>
      </c>
      <c r="K91" s="15" t="s">
        <v>17</v>
      </c>
      <c r="L91" s="9" t="s">
        <v>293</v>
      </c>
      <c r="M91" s="15" t="s">
        <v>106</v>
      </c>
    </row>
    <row r="92" spans="1:20" x14ac:dyDescent="0.25">
      <c r="A92" s="13" t="s">
        <v>294</v>
      </c>
      <c r="B92" s="6" t="s">
        <v>33</v>
      </c>
      <c r="C92" s="6" t="s">
        <v>295</v>
      </c>
      <c r="D92" s="6" t="s">
        <v>38</v>
      </c>
      <c r="E92" s="13" t="s">
        <v>80</v>
      </c>
      <c r="F92" s="13" t="s">
        <v>61</v>
      </c>
      <c r="G92" s="14">
        <f>=IF(F92="Completed", 1, IF(F92="In Progress", 0.5, IF(F92="Review", 0.8, 0)))</f>
        <v>0</v>
      </c>
      <c r="H92" s="13" t="s">
        <v>40</v>
      </c>
      <c r="I92" s="13" t="s">
        <v>291</v>
      </c>
      <c r="J92" s="13" t="s">
        <v>17</v>
      </c>
      <c r="K92" s="13" t="s">
        <v>17</v>
      </c>
      <c r="L92" s="6" t="s">
        <v>296</v>
      </c>
      <c r="M92" s="13" t="s">
        <v>64</v>
      </c>
    </row>
    <row r="93" spans="1:20" x14ac:dyDescent="0.25">
      <c r="A93" s="15" t="s">
        <v>297</v>
      </c>
      <c r="B93" s="9" t="s">
        <v>33</v>
      </c>
      <c r="C93" s="9" t="s">
        <v>298</v>
      </c>
      <c r="D93" s="9" t="s">
        <v>38</v>
      </c>
      <c r="E93" s="15" t="s">
        <v>80</v>
      </c>
      <c r="F93" s="15" t="s">
        <v>61</v>
      </c>
      <c r="G93" s="16">
        <f>=IF(F93="Completed", 1, IF(F93="In Progress", 0.5, IF(F93="Review", 0.8, 0)))</f>
        <v>0</v>
      </c>
      <c r="H93" s="15" t="s">
        <v>40</v>
      </c>
      <c r="I93" s="15" t="s">
        <v>276</v>
      </c>
      <c r="J93" s="15" t="s">
        <v>17</v>
      </c>
      <c r="K93" s="15" t="s">
        <v>17</v>
      </c>
      <c r="L93" s="9" t="s">
        <v>299</v>
      </c>
      <c r="M93" s="15" t="s">
        <v>64</v>
      </c>
    </row>
    <row r="94" spans="1:20" x14ac:dyDescent="0.25">
      <c r="A94" s="13" t="s">
        <v>300</v>
      </c>
      <c r="B94" s="6" t="s">
        <v>36</v>
      </c>
      <c r="C94" s="6" t="s">
        <v>301</v>
      </c>
      <c r="D94" s="6" t="s">
        <v>35</v>
      </c>
      <c r="E94" s="13" t="s">
        <v>80</v>
      </c>
      <c r="F94" s="13" t="s">
        <v>61</v>
      </c>
      <c r="G94" s="14">
        <f>=IF(F94="Completed", 1, IF(F94="In Progress", 0.5, IF(F94="Review", 0.8, 0)))</f>
        <v>0</v>
      </c>
      <c r="H94" s="13" t="s">
        <v>37</v>
      </c>
      <c r="I94" s="13" t="s">
        <v>62</v>
      </c>
      <c r="J94" s="13" t="s">
        <v>17</v>
      </c>
      <c r="K94" s="13" t="s">
        <v>17</v>
      </c>
      <c r="L94" s="6" t="s">
        <v>302</v>
      </c>
      <c r="M94" s="13" t="s">
        <v>64</v>
      </c>
    </row>
    <row r="95" spans="1:20" x14ac:dyDescent="0.25">
      <c r="A95" s="15" t="s">
        <v>303</v>
      </c>
      <c r="B95" s="9" t="s">
        <v>36</v>
      </c>
      <c r="C95" s="9" t="s">
        <v>304</v>
      </c>
      <c r="D95" s="9" t="s">
        <v>35</v>
      </c>
      <c r="E95" s="15" t="s">
        <v>60</v>
      </c>
      <c r="F95" s="15" t="s">
        <v>61</v>
      </c>
      <c r="G95" s="16">
        <f>=IF(F95="Completed", 1, IF(F95="In Progress", 0.5, IF(F95="Review", 0.8, 0)))</f>
        <v>0</v>
      </c>
      <c r="H95" s="15" t="s">
        <v>37</v>
      </c>
      <c r="I95" s="15" t="s">
        <v>288</v>
      </c>
      <c r="J95" s="15" t="s">
        <v>17</v>
      </c>
      <c r="K95" s="15" t="s">
        <v>17</v>
      </c>
      <c r="L95" s="9" t="s">
        <v>305</v>
      </c>
      <c r="M95" s="15" t="s">
        <v>64</v>
      </c>
    </row>
    <row r="96" spans="1:20" x14ac:dyDescent="0.25">
      <c r="A96" s="13" t="s">
        <v>306</v>
      </c>
      <c r="B96" s="6" t="s">
        <v>36</v>
      </c>
      <c r="C96" s="6" t="s">
        <v>307</v>
      </c>
      <c r="D96" s="6" t="s">
        <v>35</v>
      </c>
      <c r="E96" s="13" t="s">
        <v>80</v>
      </c>
      <c r="F96" s="13" t="s">
        <v>61</v>
      </c>
      <c r="G96" s="14">
        <f>=IF(F96="Completed", 1, IF(F96="In Progress", 0.5, IF(F96="Review", 0.8, 0)))</f>
        <v>0</v>
      </c>
      <c r="H96" s="13" t="s">
        <v>37</v>
      </c>
      <c r="I96" s="13" t="s">
        <v>62</v>
      </c>
      <c r="J96" s="13" t="s">
        <v>17</v>
      </c>
      <c r="K96" s="13" t="s">
        <v>17</v>
      </c>
      <c r="L96" s="6" t="s">
        <v>308</v>
      </c>
      <c r="M96" s="13" t="s">
        <v>64</v>
      </c>
    </row>
    <row r="97" spans="1:20" x14ac:dyDescent="0.25">
      <c r="A97" s="15" t="s">
        <v>309</v>
      </c>
      <c r="B97" s="9" t="s">
        <v>36</v>
      </c>
      <c r="C97" s="9" t="s">
        <v>310</v>
      </c>
      <c r="D97" s="9" t="s">
        <v>35</v>
      </c>
      <c r="E97" s="15" t="s">
        <v>60</v>
      </c>
      <c r="F97" s="15" t="s">
        <v>61</v>
      </c>
      <c r="G97" s="16">
        <f>=IF(F97="Completed", 1, IF(F97="In Progress", 0.5, IF(F97="Review", 0.8, 0)))</f>
        <v>0</v>
      </c>
      <c r="H97" s="15" t="s">
        <v>40</v>
      </c>
      <c r="I97" s="15" t="s">
        <v>306</v>
      </c>
      <c r="J97" s="15" t="s">
        <v>17</v>
      </c>
      <c r="K97" s="15" t="s">
        <v>17</v>
      </c>
      <c r="L97" s="9" t="s">
        <v>311</v>
      </c>
      <c r="M97" s="15" t="s">
        <v>106</v>
      </c>
    </row>
    <row r="98" spans="1:20" x14ac:dyDescent="0.25">
      <c r="A98" s="13" t="s">
        <v>312</v>
      </c>
      <c r="B98" s="6" t="s">
        <v>36</v>
      </c>
      <c r="C98" s="6" t="s">
        <v>313</v>
      </c>
      <c r="D98" s="6" t="s">
        <v>35</v>
      </c>
      <c r="E98" s="13" t="s">
        <v>60</v>
      </c>
      <c r="F98" s="13" t="s">
        <v>61</v>
      </c>
      <c r="G98" s="14">
        <f>=IF(F98="Completed", 1, IF(F98="In Progress", 0.5, IF(F98="Review", 0.8, 0)))</f>
        <v>0</v>
      </c>
      <c r="H98" s="13" t="s">
        <v>40</v>
      </c>
      <c r="I98" s="13" t="s">
        <v>303</v>
      </c>
      <c r="J98" s="13" t="s">
        <v>17</v>
      </c>
      <c r="K98" s="13" t="s">
        <v>17</v>
      </c>
      <c r="L98" s="6" t="s">
        <v>314</v>
      </c>
      <c r="M98" s="13" t="s">
        <v>64</v>
      </c>
    </row>
    <row r="99" spans="1:20" x14ac:dyDescent="0.25">
      <c r="A99" s="15" t="s">
        <v>315</v>
      </c>
      <c r="B99" s="9" t="s">
        <v>36</v>
      </c>
      <c r="C99" s="9" t="s">
        <v>316</v>
      </c>
      <c r="D99" s="9" t="s">
        <v>35</v>
      </c>
      <c r="E99" s="15" t="s">
        <v>80</v>
      </c>
      <c r="F99" s="15" t="s">
        <v>61</v>
      </c>
      <c r="G99" s="16">
        <f>=IF(F99="Completed", 1, IF(F99="In Progress", 0.5, IF(F99="Review", 0.8, 0)))</f>
        <v>0</v>
      </c>
      <c r="H99" s="15" t="s">
        <v>42</v>
      </c>
      <c r="I99" s="15" t="s">
        <v>306</v>
      </c>
      <c r="J99" s="15" t="s">
        <v>17</v>
      </c>
      <c r="K99" s="15" t="s">
        <v>17</v>
      </c>
      <c r="L99" s="9" t="s">
        <v>317</v>
      </c>
      <c r="M99" s="15" t="s">
        <v>64</v>
      </c>
    </row>
    <row r="100" spans="1:20" x14ac:dyDescent="0.25">
      <c r="A100" s="13" t="s">
        <v>318</v>
      </c>
      <c r="B100" s="6" t="s">
        <v>36</v>
      </c>
      <c r="C100" s="6" t="s">
        <v>319</v>
      </c>
      <c r="D100" s="6" t="s">
        <v>35</v>
      </c>
      <c r="E100" s="13" t="s">
        <v>80</v>
      </c>
      <c r="F100" s="13" t="s">
        <v>61</v>
      </c>
      <c r="G100" s="14">
        <f>=IF(F100="Completed", 1, IF(F100="In Progress", 0.5, IF(F100="Review", 0.8, 0)))</f>
        <v>0</v>
      </c>
      <c r="H100" s="13" t="s">
        <v>37</v>
      </c>
      <c r="I100" s="13" t="s">
        <v>62</v>
      </c>
      <c r="J100" s="13" t="s">
        <v>17</v>
      </c>
      <c r="K100" s="13" t="s">
        <v>17</v>
      </c>
      <c r="L100" s="6" t="s">
        <v>320</v>
      </c>
      <c r="M100" s="13" t="s">
        <v>64</v>
      </c>
    </row>
    <row r="101" spans="1:20" x14ac:dyDescent="0.25">
      <c r="A101" s="15" t="s">
        <v>321</v>
      </c>
      <c r="B101" s="9" t="s">
        <v>36</v>
      </c>
      <c r="C101" s="9" t="s">
        <v>322</v>
      </c>
      <c r="D101" s="9" t="s">
        <v>35</v>
      </c>
      <c r="E101" s="15" t="s">
        <v>60</v>
      </c>
      <c r="F101" s="15" t="s">
        <v>61</v>
      </c>
      <c r="G101" s="16">
        <f>=IF(F101="Completed", 1, IF(F101="In Progress", 0.5, IF(F101="Review", 0.8, 0)))</f>
        <v>0</v>
      </c>
      <c r="H101" s="15" t="s">
        <v>42</v>
      </c>
      <c r="I101" s="15" t="s">
        <v>309</v>
      </c>
      <c r="J101" s="15" t="s">
        <v>17</v>
      </c>
      <c r="K101" s="15" t="s">
        <v>17</v>
      </c>
      <c r="L101" s="9" t="s">
        <v>323</v>
      </c>
      <c r="M101" s="15" t="s">
        <v>64</v>
      </c>
    </row>
    <row r="102" spans="1:20" x14ac:dyDescent="0.25">
      <c r="A102" s="13" t="s">
        <v>324</v>
      </c>
      <c r="B102" s="6" t="s">
        <v>36</v>
      </c>
      <c r="C102" s="6" t="s">
        <v>325</v>
      </c>
      <c r="D102" s="6" t="s">
        <v>35</v>
      </c>
      <c r="E102" s="13" t="s">
        <v>80</v>
      </c>
      <c r="F102" s="13" t="s">
        <v>61</v>
      </c>
      <c r="G102" s="14">
        <f>=IF(F102="Completed", 1, IF(F102="In Progress", 0.5, IF(F102="Review", 0.8, 0)))</f>
        <v>0</v>
      </c>
      <c r="H102" s="13" t="s">
        <v>37</v>
      </c>
      <c r="I102" s="13" t="s">
        <v>306</v>
      </c>
      <c r="J102" s="13" t="s">
        <v>17</v>
      </c>
      <c r="K102" s="13" t="s">
        <v>17</v>
      </c>
      <c r="L102" s="6" t="s">
        <v>326</v>
      </c>
      <c r="M102" s="13" t="s">
        <v>64</v>
      </c>
    </row>
    <row r="103" spans="1:20" x14ac:dyDescent="0.25">
      <c r="A103" s="15" t="s">
        <v>327</v>
      </c>
      <c r="B103" s="9" t="s">
        <v>39</v>
      </c>
      <c r="C103" s="9" t="s">
        <v>328</v>
      </c>
      <c r="D103" s="9" t="s">
        <v>23</v>
      </c>
      <c r="E103" s="15" t="s">
        <v>60</v>
      </c>
      <c r="F103" s="15" t="s">
        <v>61</v>
      </c>
      <c r="G103" s="16">
        <f>=IF(F103="Completed", 1, IF(F103="In Progress", 0.5, IF(F103="Review", 0.8, 0)))</f>
        <v>0</v>
      </c>
      <c r="H103" s="15" t="s">
        <v>28</v>
      </c>
      <c r="I103" s="15" t="s">
        <v>62</v>
      </c>
      <c r="J103" s="15" t="s">
        <v>17</v>
      </c>
      <c r="K103" s="15" t="s">
        <v>17</v>
      </c>
      <c r="L103" s="9" t="s">
        <v>329</v>
      </c>
      <c r="M103" s="15" t="s">
        <v>64</v>
      </c>
    </row>
    <row r="104" spans="1:20" x14ac:dyDescent="0.25">
      <c r="A104" s="13" t="s">
        <v>330</v>
      </c>
      <c r="B104" s="6" t="s">
        <v>39</v>
      </c>
      <c r="C104" s="6" t="s">
        <v>331</v>
      </c>
      <c r="D104" s="6" t="s">
        <v>23</v>
      </c>
      <c r="E104" s="13" t="s">
        <v>60</v>
      </c>
      <c r="F104" s="13" t="s">
        <v>61</v>
      </c>
      <c r="G104" s="14">
        <f>=IF(F104="Completed", 1, IF(F104="In Progress", 0.5, IF(F104="Review", 0.8, 0)))</f>
        <v>0</v>
      </c>
      <c r="H104" s="13" t="s">
        <v>31</v>
      </c>
      <c r="I104" s="13" t="s">
        <v>327</v>
      </c>
      <c r="J104" s="13" t="s">
        <v>17</v>
      </c>
      <c r="K104" s="13" t="s">
        <v>17</v>
      </c>
      <c r="L104" s="6" t="s">
        <v>332</v>
      </c>
      <c r="M104" s="13" t="s">
        <v>64</v>
      </c>
    </row>
    <row r="105" spans="1:20" x14ac:dyDescent="0.25">
      <c r="A105" s="15" t="s">
        <v>333</v>
      </c>
      <c r="B105" s="9" t="s">
        <v>39</v>
      </c>
      <c r="C105" s="9" t="s">
        <v>334</v>
      </c>
      <c r="D105" s="9" t="s">
        <v>23</v>
      </c>
      <c r="E105" s="15" t="s">
        <v>60</v>
      </c>
      <c r="F105" s="15" t="s">
        <v>61</v>
      </c>
      <c r="G105" s="16">
        <f>=IF(F105="Completed", 1, IF(F105="In Progress", 0.5, IF(F105="Review", 0.8, 0)))</f>
        <v>0</v>
      </c>
      <c r="H105" s="15" t="s">
        <v>40</v>
      </c>
      <c r="I105" s="15" t="s">
        <v>62</v>
      </c>
      <c r="J105" s="15" t="s">
        <v>17</v>
      </c>
      <c r="K105" s="15" t="s">
        <v>17</v>
      </c>
      <c r="L105" s="9" t="s">
        <v>335</v>
      </c>
      <c r="M105" s="15" t="s">
        <v>64</v>
      </c>
    </row>
    <row r="106" spans="1:20" x14ac:dyDescent="0.25">
      <c r="A106" s="13" t="s">
        <v>336</v>
      </c>
      <c r="B106" s="6" t="s">
        <v>39</v>
      </c>
      <c r="C106" s="6" t="s">
        <v>337</v>
      </c>
      <c r="D106" s="6" t="s">
        <v>23</v>
      </c>
      <c r="E106" s="13" t="s">
        <v>80</v>
      </c>
      <c r="F106" s="13" t="s">
        <v>61</v>
      </c>
      <c r="G106" s="14">
        <f>=IF(F106="Completed", 1, IF(F106="In Progress", 0.5, IF(F106="Review", 0.8, 0)))</f>
        <v>0</v>
      </c>
      <c r="H106" s="13" t="s">
        <v>56</v>
      </c>
      <c r="I106" s="13" t="s">
        <v>62</v>
      </c>
      <c r="J106" s="13" t="s">
        <v>17</v>
      </c>
      <c r="K106" s="13" t="s">
        <v>17</v>
      </c>
      <c r="L106" s="6" t="s">
        <v>338</v>
      </c>
      <c r="M106" s="13" t="s">
        <v>64</v>
      </c>
    </row>
    <row r="107" spans="1:20" x14ac:dyDescent="0.25">
      <c r="A107" s="15" t="s">
        <v>339</v>
      </c>
      <c r="B107" s="9" t="s">
        <v>39</v>
      </c>
      <c r="C107" s="9" t="s">
        <v>340</v>
      </c>
      <c r="D107" s="9" t="s">
        <v>23</v>
      </c>
      <c r="E107" s="15" t="s">
        <v>60</v>
      </c>
      <c r="F107" s="15" t="s">
        <v>61</v>
      </c>
      <c r="G107" s="16">
        <f>=IF(F107="Completed", 1, IF(F107="In Progress", 0.5, IF(F107="Review", 0.8, 0)))</f>
        <v>0</v>
      </c>
      <c r="H107" s="15" t="s">
        <v>56</v>
      </c>
      <c r="I107" s="15" t="s">
        <v>62</v>
      </c>
      <c r="J107" s="15" t="s">
        <v>17</v>
      </c>
      <c r="K107" s="15" t="s">
        <v>17</v>
      </c>
      <c r="L107" s="9" t="s">
        <v>341</v>
      </c>
      <c r="M107" s="15" t="s">
        <v>64</v>
      </c>
    </row>
    <row r="108" spans="1:20" x14ac:dyDescent="0.25">
      <c r="A108" s="13" t="s">
        <v>342</v>
      </c>
      <c r="B108" s="6" t="s">
        <v>39</v>
      </c>
      <c r="C108" s="6" t="s">
        <v>343</v>
      </c>
      <c r="D108" s="6" t="s">
        <v>23</v>
      </c>
      <c r="E108" s="13" t="s">
        <v>80</v>
      </c>
      <c r="F108" s="13" t="s">
        <v>61</v>
      </c>
      <c r="G108" s="14">
        <f>=IF(F108="Completed", 1, IF(F108="In Progress", 0.5, IF(F108="Review", 0.8, 0)))</f>
        <v>0</v>
      </c>
      <c r="H108" s="13" t="s">
        <v>42</v>
      </c>
      <c r="I108" s="13" t="s">
        <v>62</v>
      </c>
      <c r="J108" s="13" t="s">
        <v>17</v>
      </c>
      <c r="K108" s="13" t="s">
        <v>17</v>
      </c>
      <c r="L108" s="6" t="s">
        <v>344</v>
      </c>
      <c r="M108" s="13" t="s">
        <v>64</v>
      </c>
    </row>
    <row r="109" spans="1:20" x14ac:dyDescent="0.25">
      <c r="A109" s="15" t="s">
        <v>345</v>
      </c>
      <c r="B109" s="9" t="s">
        <v>39</v>
      </c>
      <c r="C109" s="9" t="s">
        <v>346</v>
      </c>
      <c r="D109" s="9" t="s">
        <v>23</v>
      </c>
      <c r="E109" s="15" t="s">
        <v>60</v>
      </c>
      <c r="F109" s="15" t="s">
        <v>61</v>
      </c>
      <c r="G109" s="16">
        <f>=IF(F109="Completed", 1, IF(F109="In Progress", 0.5, IF(F109="Review", 0.8, 0)))</f>
        <v>0</v>
      </c>
      <c r="H109" s="15" t="s">
        <v>42</v>
      </c>
      <c r="I109" s="15" t="s">
        <v>62</v>
      </c>
      <c r="J109" s="15" t="s">
        <v>17</v>
      </c>
      <c r="K109" s="15" t="s">
        <v>17</v>
      </c>
      <c r="L109" s="9" t="s">
        <v>347</v>
      </c>
      <c r="M109" s="15" t="s">
        <v>64</v>
      </c>
    </row>
    <row r="110" spans="1:20" x14ac:dyDescent="0.25">
      <c r="A110" s="13" t="s">
        <v>348</v>
      </c>
      <c r="B110" s="6" t="s">
        <v>39</v>
      </c>
      <c r="C110" s="6" t="s">
        <v>349</v>
      </c>
      <c r="D110" s="6" t="s">
        <v>23</v>
      </c>
      <c r="E110" s="13" t="s">
        <v>60</v>
      </c>
      <c r="F110" s="13" t="s">
        <v>61</v>
      </c>
      <c r="G110" s="14">
        <f>=IF(F110="Completed", 1, IF(F110="In Progress", 0.5, IF(F110="Review", 0.8, 0)))</f>
        <v>0</v>
      </c>
      <c r="H110" s="13" t="s">
        <v>56</v>
      </c>
      <c r="I110" s="13" t="s">
        <v>62</v>
      </c>
      <c r="J110" s="13" t="s">
        <v>17</v>
      </c>
      <c r="K110" s="13" t="s">
        <v>17</v>
      </c>
      <c r="L110" s="6" t="s">
        <v>350</v>
      </c>
      <c r="M110" s="13" t="s">
        <v>64</v>
      </c>
    </row>
    <row r="111" spans="1:20" x14ac:dyDescent="0.25">
      <c r="A111" s="15" t="s">
        <v>351</v>
      </c>
      <c r="B111" s="9" t="s">
        <v>39</v>
      </c>
      <c r="C111" s="9" t="s">
        <v>352</v>
      </c>
      <c r="D111" s="9" t="s">
        <v>23</v>
      </c>
      <c r="E111" s="15" t="s">
        <v>60</v>
      </c>
      <c r="F111" s="15" t="s">
        <v>61</v>
      </c>
      <c r="G111" s="16">
        <f>=IF(F111="Completed", 1, IF(F111="In Progress", 0.5, IF(F111="Review", 0.8, 0)))</f>
        <v>0</v>
      </c>
      <c r="H111" s="15" t="s">
        <v>56</v>
      </c>
      <c r="I111" s="15" t="s">
        <v>348</v>
      </c>
      <c r="J111" s="15" t="s">
        <v>17</v>
      </c>
      <c r="K111" s="15" t="s">
        <v>17</v>
      </c>
      <c r="L111" s="9" t="s">
        <v>353</v>
      </c>
      <c r="M111" s="15" t="s">
        <v>64</v>
      </c>
    </row>
  </sheetData>
  <autoFilter ref="A15:M111"/>
  <mergeCells count="24">
    <mergeCell ref="A1:T1"/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A3:B4"/>
    <mergeCell ref="C3:D4"/>
    <mergeCell ref="E3:F4"/>
    <mergeCell ref="G3:H4"/>
    <mergeCell ref="I3:J4"/>
    <mergeCell ref="K3:L4"/>
    <mergeCell ref="M3:N4"/>
    <mergeCell ref="O3:P4"/>
    <mergeCell ref="Q3:R4"/>
    <mergeCell ref="S3:T4"/>
    <mergeCell ref="A6:F6"/>
    <mergeCell ref="H6:M6"/>
    <mergeCell ref="O6:R6"/>
  </mergeCells>
  <conditionalFormatting sqref="F16:F111">
    <cfRule type="cellIs" dxfId="0" priority="1" operator="equal">
      <formula>"Completed"</formula>
    </cfRule>
    <cfRule type="cellIs" dxfId="1" priority="2" operator="equal">
      <formula>"In Progress"</formula>
    </cfRule>
    <cfRule type="cellIs" dxfId="2" priority="3" operator="equal">
      <formula>"Review"</formula>
    </cfRule>
    <cfRule type="cellIs" dxfId="3" priority="4" operator="equal">
      <formula>"Blocked"</formula>
    </cfRule>
    <cfRule type="cellIs" dxfId="4" priority="5" operator="equal">
      <formula>"Not Started"</formula>
    </cfRule>
  </conditionalFormatting>
  <conditionalFormatting sqref="E16:E111">
    <cfRule type="cellIs" dxfId="5" priority="6" operator="equal">
      <formula>"Critical"</formula>
    </cfRule>
    <cfRule type="cellIs" dxfId="6" priority="7" operator="equal">
      <formula>"High"</formula>
    </cfRule>
    <cfRule type="cellIs" dxfId="7" priority="8" operator="equal">
      <formula>"Medium"</formula>
    </cfRule>
    <cfRule type="cellIs" dxfId="8" priority="9" operator="equal">
      <formula>"Low"</formula>
    </cfRule>
  </conditionalFormatting>
  <dataValidations count="6">
    <dataValidation type="list" allowBlank="1" sqref="E100:E111">
      <formula1>"Critical,High,Medium,Low"</formula1>
    </dataValidation>
    <dataValidation type="list" allowBlank="1" sqref="E16:E111">
      <formula1>"Critical,High,Medium,Low"</formula1>
    </dataValidation>
    <dataValidation type="list" allowBlank="1" sqref="F100:F111">
      <formula1>"Not Started,In Progress,Review,Completed,Blocked"</formula1>
    </dataValidation>
    <dataValidation type="list" allowBlank="1" sqref="F16:F111">
      <formula1>"Not Started,In Progress,Review,Completed,Blocked"</formula1>
    </dataValidation>
    <dataValidation type="list" allowBlank="1" sqref="M100:M111">
      <formula1>"Yes,No"</formula1>
    </dataValidation>
    <dataValidation type="list" allowBlank="1" sqref="M16:M11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3"/>
  <sheetFormatPr defaultRowHeight="15" outlineLevelRow="0" outlineLevelCol="0" x14ac:dyDescent="55"/>
  <cols>
    <col min="1" max="15" width="40" customWidth="1"/>
  </cols>
  <sheetData>
    <row r="1" ht="30" customHeight="1" spans="1:15" x14ac:dyDescent="0.25">
      <c r="A1" s="1" t="s">
        <v>354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5"/>
    <row r="3" ht="20" customHeight="1" spans="1:15" x14ac:dyDescent="0.25">
      <c r="B3" s="17" t="s">
        <v>355</v>
      </c>
      <c r="C3" s="18" t="s">
        <v>356</v>
      </c>
      <c r="E3" s="17" t="s">
        <v>357</v>
      </c>
      <c r="F3" s="18" t="s">
        <v>358</v>
      </c>
      <c r="H3" s="17" t="s">
        <v>359</v>
      </c>
      <c r="I3" s="18" t="s">
        <v>360</v>
      </c>
    </row>
    <row r="4" spans="1:15" x14ac:dyDescent="0.25"/>
    <row r="5" ht="24" customHeight="1" spans="1:15" x14ac:dyDescent="0.25">
      <c r="A5" s="19" t="s">
        <v>361</v>
      </c>
      <c r="B5" s="19"/>
      <c r="C5" s="19"/>
      <c r="D5" s="20" t="s">
        <v>61</v>
      </c>
      <c r="E5" s="20"/>
      <c r="F5" s="20"/>
      <c r="G5" s="21" t="s">
        <v>362</v>
      </c>
      <c r="H5" s="21"/>
      <c r="I5" s="21"/>
      <c r="J5" s="22" t="s">
        <v>363</v>
      </c>
      <c r="K5" s="22"/>
      <c r="L5" s="22"/>
      <c r="M5" s="23" t="s">
        <v>16</v>
      </c>
      <c r="N5" s="23"/>
      <c r="O5" s="23"/>
    </row>
    <row r="6" ht="18" customHeight="1" spans="1:15" x14ac:dyDescent="0.25">
      <c r="A6" s="24" t="s">
        <v>43</v>
      </c>
      <c r="B6" s="24" t="s">
        <v>45</v>
      </c>
      <c r="C6" s="24" t="s">
        <v>46</v>
      </c>
      <c r="D6" s="24" t="s">
        <v>43</v>
      </c>
      <c r="E6" s="24" t="s">
        <v>45</v>
      </c>
      <c r="F6" s="24" t="s">
        <v>46</v>
      </c>
      <c r="G6" s="24" t="s">
        <v>43</v>
      </c>
      <c r="H6" s="24" t="s">
        <v>45</v>
      </c>
      <c r="I6" s="24" t="s">
        <v>46</v>
      </c>
      <c r="J6" s="24" t="s">
        <v>43</v>
      </c>
      <c r="K6" s="24" t="s">
        <v>45</v>
      </c>
      <c r="L6" s="24" t="s">
        <v>46</v>
      </c>
      <c r="M6" s="24" t="s">
        <v>43</v>
      </c>
      <c r="N6" s="24" t="s">
        <v>45</v>
      </c>
      <c r="O6" s="24" t="s">
        <v>46</v>
      </c>
    </row>
    <row r="7" ht="18" customHeight="1" spans="1:15" x14ac:dyDescent="0.25">
      <c r="A7" s="25" t="s">
        <v>364</v>
      </c>
      <c r="B7" s="26" t="s">
        <v>364</v>
      </c>
      <c r="C7" s="27" t="s">
        <v>364</v>
      </c>
      <c r="D7" s="28" t="str">
        <f>=Dashboard!A16</f>
        <v>TASK-INF-001</v>
      </c>
      <c r="E7" s="26" t="str">
        <f>=Dashboard!C16</f>
        <v>Repository verification</v>
      </c>
      <c r="F7" s="29" t="str">
        <f>=Dashboard!D16</f>
        <v>Adithyan N + Muhammad Sanish</v>
      </c>
      <c r="G7" s="30" t="s">
        <v>364</v>
      </c>
      <c r="H7" s="26" t="s">
        <v>364</v>
      </c>
      <c r="I7" s="31" t="s">
        <v>364</v>
      </c>
      <c r="J7" s="32" t="s">
        <v>364</v>
      </c>
      <c r="K7" s="26" t="s">
        <v>364</v>
      </c>
      <c r="L7" s="33" t="s">
        <v>364</v>
      </c>
      <c r="M7" s="34" t="s">
        <v>364</v>
      </c>
      <c r="N7" s="26" t="s">
        <v>364</v>
      </c>
      <c r="O7" s="35" t="s">
        <v>364</v>
      </c>
    </row>
    <row r="8" ht="18" customHeight="1" spans="1:15" x14ac:dyDescent="0.25">
      <c r="A8" s="25" t="s">
        <v>364</v>
      </c>
      <c r="B8" s="26" t="s">
        <v>364</v>
      </c>
      <c r="C8" s="27" t="s">
        <v>364</v>
      </c>
      <c r="D8" s="28" t="str">
        <f>=Dashboard!A17</f>
        <v>TASK-INF-002</v>
      </c>
      <c r="E8" s="26" t="str">
        <f>=Dashboard!C17</f>
        <v>Git workflow setup</v>
      </c>
      <c r="F8" s="29" t="str">
        <f>=Dashboard!D17</f>
        <v>Adithyan N</v>
      </c>
      <c r="G8" s="30" t="s">
        <v>364</v>
      </c>
      <c r="H8" s="26" t="s">
        <v>364</v>
      </c>
      <c r="I8" s="31" t="s">
        <v>364</v>
      </c>
      <c r="J8" s="32" t="s">
        <v>364</v>
      </c>
      <c r="K8" s="26" t="s">
        <v>364</v>
      </c>
      <c r="L8" s="33" t="s">
        <v>364</v>
      </c>
      <c r="M8" s="34" t="s">
        <v>364</v>
      </c>
      <c r="N8" s="26" t="s">
        <v>364</v>
      </c>
      <c r="O8" s="35" t="s">
        <v>364</v>
      </c>
    </row>
    <row r="9" ht="18" customHeight="1" spans="1:15" x14ac:dyDescent="0.25">
      <c r="A9" s="25" t="s">
        <v>364</v>
      </c>
      <c r="B9" s="26" t="s">
        <v>364</v>
      </c>
      <c r="C9" s="27" t="s">
        <v>364</v>
      </c>
      <c r="D9" s="28" t="str">
        <f>=Dashboard!A18</f>
        <v>TASK-INF-003</v>
      </c>
      <c r="E9" s="26" t="str">
        <f>=Dashboard!C18</f>
        <v>Branch setup</v>
      </c>
      <c r="F9" s="29" t="str">
        <f>=Dashboard!D18</f>
        <v>Adithyan N</v>
      </c>
      <c r="G9" s="30" t="s">
        <v>364</v>
      </c>
      <c r="H9" s="26" t="s">
        <v>364</v>
      </c>
      <c r="I9" s="31" t="s">
        <v>364</v>
      </c>
      <c r="J9" s="32" t="s">
        <v>364</v>
      </c>
      <c r="K9" s="26" t="s">
        <v>364</v>
      </c>
      <c r="L9" s="33" t="s">
        <v>364</v>
      </c>
      <c r="M9" s="34" t="s">
        <v>364</v>
      </c>
      <c r="N9" s="26" t="s">
        <v>364</v>
      </c>
      <c r="O9" s="35" t="s">
        <v>364</v>
      </c>
    </row>
    <row r="10" ht="18" customHeight="1" spans="1:15" x14ac:dyDescent="0.25">
      <c r="A10" s="25" t="s">
        <v>364</v>
      </c>
      <c r="B10" s="26" t="s">
        <v>364</v>
      </c>
      <c r="C10" s="27" t="s">
        <v>364</v>
      </c>
      <c r="D10" s="28" t="str">
        <f>=Dashboard!A19</f>
        <v>TASK-INF-004</v>
      </c>
      <c r="E10" s="26" t="str">
        <f>=Dashboard!C19</f>
        <v>MongoDB Atlas setup</v>
      </c>
      <c r="F10" s="29" t="str">
        <f>=Dashboard!D19</f>
        <v>Adithyan N</v>
      </c>
      <c r="G10" s="30" t="s">
        <v>364</v>
      </c>
      <c r="H10" s="26" t="s">
        <v>364</v>
      </c>
      <c r="I10" s="31" t="s">
        <v>364</v>
      </c>
      <c r="J10" s="32" t="s">
        <v>364</v>
      </c>
      <c r="K10" s="26" t="s">
        <v>364</v>
      </c>
      <c r="L10" s="33" t="s">
        <v>364</v>
      </c>
      <c r="M10" s="34" t="s">
        <v>364</v>
      </c>
      <c r="N10" s="26" t="s">
        <v>364</v>
      </c>
      <c r="O10" s="35" t="s">
        <v>364</v>
      </c>
    </row>
    <row r="11" ht="18" customHeight="1" spans="1:15" x14ac:dyDescent="0.25">
      <c r="A11" s="25" t="s">
        <v>364</v>
      </c>
      <c r="B11" s="26" t="s">
        <v>364</v>
      </c>
      <c r="C11" s="27" t="s">
        <v>364</v>
      </c>
      <c r="D11" s="28" t="str">
        <f>=Dashboard!A20</f>
        <v>TASK-INF-005</v>
      </c>
      <c r="E11" s="26" t="str">
        <f>=Dashboard!C20</f>
        <v>Environment variables</v>
      </c>
      <c r="F11" s="29" t="str">
        <f>=Dashboard!D20</f>
        <v>Muhammad Sanish</v>
      </c>
      <c r="G11" s="30" t="s">
        <v>364</v>
      </c>
      <c r="H11" s="26" t="s">
        <v>364</v>
      </c>
      <c r="I11" s="31" t="s">
        <v>364</v>
      </c>
      <c r="J11" s="32" t="s">
        <v>364</v>
      </c>
      <c r="K11" s="26" t="s">
        <v>364</v>
      </c>
      <c r="L11" s="33" t="s">
        <v>364</v>
      </c>
      <c r="M11" s="34" t="s">
        <v>364</v>
      </c>
      <c r="N11" s="26" t="s">
        <v>364</v>
      </c>
      <c r="O11" s="35" t="s">
        <v>364</v>
      </c>
    </row>
    <row r="12" ht="18" customHeight="1" spans="1:15" x14ac:dyDescent="0.25">
      <c r="A12" s="25" t="s">
        <v>364</v>
      </c>
      <c r="B12" s="26" t="s">
        <v>364</v>
      </c>
      <c r="C12" s="27" t="s">
        <v>364</v>
      </c>
      <c r="D12" s="28" t="str">
        <f>=Dashboard!A21</f>
        <v>TASK-INF-006</v>
      </c>
      <c r="E12" s="26" t="str">
        <f>=Dashboard!C21</f>
        <v>ESLint</v>
      </c>
      <c r="F12" s="29" t="str">
        <f>=Dashboard!D21</f>
        <v>Adithyan N</v>
      </c>
      <c r="G12" s="30" t="s">
        <v>364</v>
      </c>
      <c r="H12" s="26" t="s">
        <v>364</v>
      </c>
      <c r="I12" s="31" t="s">
        <v>364</v>
      </c>
      <c r="J12" s="32" t="s">
        <v>364</v>
      </c>
      <c r="K12" s="26" t="s">
        <v>364</v>
      </c>
      <c r="L12" s="33" t="s">
        <v>364</v>
      </c>
      <c r="M12" s="34" t="s">
        <v>364</v>
      </c>
      <c r="N12" s="26" t="s">
        <v>364</v>
      </c>
      <c r="O12" s="35" t="s">
        <v>364</v>
      </c>
    </row>
    <row r="13" ht="18" customHeight="1" spans="1:15" x14ac:dyDescent="0.25">
      <c r="A13" s="25" t="s">
        <v>364</v>
      </c>
      <c r="B13" s="26" t="s">
        <v>364</v>
      </c>
      <c r="C13" s="27" t="s">
        <v>364</v>
      </c>
      <c r="D13" s="28" t="str">
        <f>=Dashboard!A22</f>
        <v>TASK-INF-007</v>
      </c>
      <c r="E13" s="26" t="str">
        <f>=Dashboard!C22</f>
        <v>Prettier</v>
      </c>
      <c r="F13" s="29" t="str">
        <f>=Dashboard!D22</f>
        <v>Adithyan N</v>
      </c>
      <c r="G13" s="30" t="s">
        <v>364</v>
      </c>
      <c r="H13" s="26" t="s">
        <v>364</v>
      </c>
      <c r="I13" s="31" t="s">
        <v>364</v>
      </c>
      <c r="J13" s="32" t="s">
        <v>364</v>
      </c>
      <c r="K13" s="26" t="s">
        <v>364</v>
      </c>
      <c r="L13" s="33" t="s">
        <v>364</v>
      </c>
      <c r="M13" s="34" t="s">
        <v>364</v>
      </c>
      <c r="N13" s="26" t="s">
        <v>364</v>
      </c>
      <c r="O13" s="35" t="s">
        <v>364</v>
      </c>
    </row>
    <row r="14" ht="18" customHeight="1" spans="1:15" x14ac:dyDescent="0.25">
      <c r="A14" s="25" t="s">
        <v>364</v>
      </c>
      <c r="B14" s="26" t="s">
        <v>364</v>
      </c>
      <c r="C14" s="27" t="s">
        <v>364</v>
      </c>
      <c r="D14" s="28" t="str">
        <f>=Dashboard!A23</f>
        <v>TASK-INF-008</v>
      </c>
      <c r="E14" s="26" t="str">
        <f>=Dashboard!C23</f>
        <v>Logging infrastructure</v>
      </c>
      <c r="F14" s="29" t="str">
        <f>=Dashboard!D23</f>
        <v>Muhammad Sanish</v>
      </c>
      <c r="G14" s="30" t="s">
        <v>364</v>
      </c>
      <c r="H14" s="26" t="s">
        <v>364</v>
      </c>
      <c r="I14" s="31" t="s">
        <v>364</v>
      </c>
      <c r="J14" s="32" t="s">
        <v>364</v>
      </c>
      <c r="K14" s="26" t="s">
        <v>364</v>
      </c>
      <c r="L14" s="33" t="s">
        <v>364</v>
      </c>
      <c r="M14" s="34" t="s">
        <v>364</v>
      </c>
      <c r="N14" s="26" t="s">
        <v>364</v>
      </c>
      <c r="O14" s="35" t="s">
        <v>364</v>
      </c>
    </row>
    <row r="15" ht="18" customHeight="1" spans="1:15" x14ac:dyDescent="0.25">
      <c r="A15" s="25" t="s">
        <v>364</v>
      </c>
      <c r="B15" s="26" t="s">
        <v>364</v>
      </c>
      <c r="C15" s="27" t="s">
        <v>364</v>
      </c>
      <c r="D15" s="28" t="str">
        <f>=Dashboard!A24</f>
        <v>TASK-INF-009</v>
      </c>
      <c r="E15" s="26" t="str">
        <f>=Dashboard!C24</f>
        <v>Deployment preparation</v>
      </c>
      <c r="F15" s="29" t="str">
        <f>=Dashboard!D24</f>
        <v>Adithyan N + Muhammad Sanish</v>
      </c>
      <c r="G15" s="30" t="s">
        <v>364</v>
      </c>
      <c r="H15" s="26" t="s">
        <v>364</v>
      </c>
      <c r="I15" s="31" t="s">
        <v>364</v>
      </c>
      <c r="J15" s="32" t="s">
        <v>364</v>
      </c>
      <c r="K15" s="26" t="s">
        <v>364</v>
      </c>
      <c r="L15" s="33" t="s">
        <v>364</v>
      </c>
      <c r="M15" s="34" t="s">
        <v>364</v>
      </c>
      <c r="N15" s="26" t="s">
        <v>364</v>
      </c>
      <c r="O15" s="35" t="s">
        <v>364</v>
      </c>
    </row>
    <row r="16" ht="18" customHeight="1" spans="1:15" x14ac:dyDescent="0.25">
      <c r="A16" s="25" t="s">
        <v>364</v>
      </c>
      <c r="B16" s="26" t="s">
        <v>364</v>
      </c>
      <c r="C16" s="27" t="s">
        <v>364</v>
      </c>
      <c r="D16" s="28" t="str">
        <f>=Dashboard!A25</f>
        <v>TASK-DB-001</v>
      </c>
      <c r="E16" s="26" t="str">
        <f>=Dashboard!C25</f>
        <v>User schema</v>
      </c>
      <c r="F16" s="29" t="str">
        <f>=Dashboard!D25</f>
        <v>Fathima Hana</v>
      </c>
      <c r="G16" s="30" t="s">
        <v>364</v>
      </c>
      <c r="H16" s="26" t="s">
        <v>364</v>
      </c>
      <c r="I16" s="31" t="s">
        <v>364</v>
      </c>
      <c r="J16" s="32" t="s">
        <v>364</v>
      </c>
      <c r="K16" s="26" t="s">
        <v>364</v>
      </c>
      <c r="L16" s="33" t="s">
        <v>364</v>
      </c>
      <c r="M16" s="34" t="s">
        <v>364</v>
      </c>
      <c r="N16" s="26" t="s">
        <v>364</v>
      </c>
      <c r="O16" s="35" t="s">
        <v>364</v>
      </c>
    </row>
    <row r="17" ht="18" customHeight="1" spans="1:15" x14ac:dyDescent="0.25">
      <c r="A17" s="25" t="s">
        <v>364</v>
      </c>
      <c r="B17" s="26" t="s">
        <v>364</v>
      </c>
      <c r="C17" s="27" t="s">
        <v>364</v>
      </c>
      <c r="D17" s="28" t="str">
        <f>=Dashboard!A26</f>
        <v>TASK-DB-002</v>
      </c>
      <c r="E17" s="26" t="str">
        <f>=Dashboard!C26</f>
        <v>Role schema</v>
      </c>
      <c r="F17" s="29" t="str">
        <f>=Dashboard!D26</f>
        <v>Fathima Hana</v>
      </c>
      <c r="G17" s="30" t="s">
        <v>364</v>
      </c>
      <c r="H17" s="26" t="s">
        <v>364</v>
      </c>
      <c r="I17" s="31" t="s">
        <v>364</v>
      </c>
      <c r="J17" s="32" t="s">
        <v>364</v>
      </c>
      <c r="K17" s="26" t="s">
        <v>364</v>
      </c>
      <c r="L17" s="33" t="s">
        <v>364</v>
      </c>
      <c r="M17" s="34" t="s">
        <v>364</v>
      </c>
      <c r="N17" s="26" t="s">
        <v>364</v>
      </c>
      <c r="O17" s="35" t="s">
        <v>364</v>
      </c>
    </row>
    <row r="18" ht="18" customHeight="1" spans="1:15" x14ac:dyDescent="0.25">
      <c r="A18" s="25" t="s">
        <v>364</v>
      </c>
      <c r="B18" s="26" t="s">
        <v>364</v>
      </c>
      <c r="C18" s="27" t="s">
        <v>364</v>
      </c>
      <c r="D18" s="28" t="str">
        <f>=Dashboard!A27</f>
        <v>TASK-DB-003</v>
      </c>
      <c r="E18" s="26" t="str">
        <f>=Dashboard!C27</f>
        <v>Permission schema</v>
      </c>
      <c r="F18" s="29" t="str">
        <f>=Dashboard!D27</f>
        <v>Fathima Hana</v>
      </c>
      <c r="G18" s="30" t="s">
        <v>364</v>
      </c>
      <c r="H18" s="26" t="s">
        <v>364</v>
      </c>
      <c r="I18" s="31" t="s">
        <v>364</v>
      </c>
      <c r="J18" s="32" t="s">
        <v>364</v>
      </c>
      <c r="K18" s="26" t="s">
        <v>364</v>
      </c>
      <c r="L18" s="33" t="s">
        <v>364</v>
      </c>
      <c r="M18" s="34" t="s">
        <v>364</v>
      </c>
      <c r="N18" s="26" t="s">
        <v>364</v>
      </c>
      <c r="O18" s="35" t="s">
        <v>364</v>
      </c>
    </row>
    <row r="19" ht="18" customHeight="1" spans="1:15" x14ac:dyDescent="0.25">
      <c r="A19" s="25" t="s">
        <v>364</v>
      </c>
      <c r="B19" s="26" t="s">
        <v>364</v>
      </c>
      <c r="C19" s="27" t="s">
        <v>364</v>
      </c>
      <c r="D19" s="28" t="str">
        <f>=Dashboard!A28</f>
        <v>TASK-DB-004</v>
      </c>
      <c r="E19" s="26" t="str">
        <f>=Dashboard!C28</f>
        <v>Department schema</v>
      </c>
      <c r="F19" s="29" t="str">
        <f>=Dashboard!D28</f>
        <v>Fathima Hana</v>
      </c>
      <c r="G19" s="30" t="s">
        <v>364</v>
      </c>
      <c r="H19" s="26" t="s">
        <v>364</v>
      </c>
      <c r="I19" s="31" t="s">
        <v>364</v>
      </c>
      <c r="J19" s="32" t="s">
        <v>364</v>
      </c>
      <c r="K19" s="26" t="s">
        <v>364</v>
      </c>
      <c r="L19" s="33" t="s">
        <v>364</v>
      </c>
      <c r="M19" s="34" t="s">
        <v>364</v>
      </c>
      <c r="N19" s="26" t="s">
        <v>364</v>
      </c>
      <c r="O19" s="35" t="s">
        <v>364</v>
      </c>
    </row>
    <row r="20" ht="18" customHeight="1" spans="1:15" x14ac:dyDescent="0.25">
      <c r="A20" s="25" t="s">
        <v>364</v>
      </c>
      <c r="B20" s="26" t="s">
        <v>364</v>
      </c>
      <c r="C20" s="27" t="s">
        <v>364</v>
      </c>
      <c r="D20" s="28" t="str">
        <f>=Dashboard!A29</f>
        <v>TASK-DB-005</v>
      </c>
      <c r="E20" s="26" t="str">
        <f>=Dashboard!C29</f>
        <v>Complaint schema</v>
      </c>
      <c r="F20" s="29" t="str">
        <f>=Dashboard!D29</f>
        <v>Fathima Hana</v>
      </c>
      <c r="G20" s="30" t="s">
        <v>364</v>
      </c>
      <c r="H20" s="26" t="s">
        <v>364</v>
      </c>
      <c r="I20" s="31" t="s">
        <v>364</v>
      </c>
      <c r="J20" s="32" t="s">
        <v>364</v>
      </c>
      <c r="K20" s="26" t="s">
        <v>364</v>
      </c>
      <c r="L20" s="33" t="s">
        <v>364</v>
      </c>
      <c r="M20" s="34" t="s">
        <v>364</v>
      </c>
      <c r="N20" s="26" t="s">
        <v>364</v>
      </c>
      <c r="O20" s="35" t="s">
        <v>364</v>
      </c>
    </row>
    <row r="21" ht="18" customHeight="1" spans="1:15" x14ac:dyDescent="0.25">
      <c r="A21" s="25" t="s">
        <v>364</v>
      </c>
      <c r="B21" s="26" t="s">
        <v>364</v>
      </c>
      <c r="C21" s="27" t="s">
        <v>364</v>
      </c>
      <c r="D21" s="28" t="str">
        <f>=Dashboard!A30</f>
        <v>TASK-DB-006</v>
      </c>
      <c r="E21" s="26" t="str">
        <f>=Dashboard!C30</f>
        <v>Complaint assignment schema</v>
      </c>
      <c r="F21" s="29" t="str">
        <f>=Dashboard!D30</f>
        <v>Fathima Hana</v>
      </c>
      <c r="G21" s="30" t="s">
        <v>364</v>
      </c>
      <c r="H21" s="26" t="s">
        <v>364</v>
      </c>
      <c r="I21" s="31" t="s">
        <v>364</v>
      </c>
      <c r="J21" s="32" t="s">
        <v>364</v>
      </c>
      <c r="K21" s="26" t="s">
        <v>364</v>
      </c>
      <c r="L21" s="33" t="s">
        <v>364</v>
      </c>
      <c r="M21" s="34" t="s">
        <v>364</v>
      </c>
      <c r="N21" s="26" t="s">
        <v>364</v>
      </c>
      <c r="O21" s="35" t="s">
        <v>364</v>
      </c>
    </row>
    <row r="22" ht="18" customHeight="1" spans="1:15" x14ac:dyDescent="0.25">
      <c r="A22" s="25" t="s">
        <v>364</v>
      </c>
      <c r="B22" s="26" t="s">
        <v>364</v>
      </c>
      <c r="C22" s="27" t="s">
        <v>364</v>
      </c>
      <c r="D22" s="28" t="str">
        <f>=Dashboard!A31</f>
        <v>TASK-DB-007</v>
      </c>
      <c r="E22" s="26" t="str">
        <f>=Dashboard!C31</f>
        <v>File tracking schema</v>
      </c>
      <c r="F22" s="29" t="str">
        <f>=Dashboard!D31</f>
        <v>Fathima Hana</v>
      </c>
      <c r="G22" s="30" t="s">
        <v>364</v>
      </c>
      <c r="H22" s="26" t="s">
        <v>364</v>
      </c>
      <c r="I22" s="31" t="s">
        <v>364</v>
      </c>
      <c r="J22" s="32" t="s">
        <v>364</v>
      </c>
      <c r="K22" s="26" t="s">
        <v>364</v>
      </c>
      <c r="L22" s="33" t="s">
        <v>364</v>
      </c>
      <c r="M22" s="34" t="s">
        <v>364</v>
      </c>
      <c r="N22" s="26" t="s">
        <v>364</v>
      </c>
      <c r="O22" s="35" t="s">
        <v>364</v>
      </c>
    </row>
    <row r="23" ht="18" customHeight="1" spans="1:15" x14ac:dyDescent="0.25">
      <c r="A23" s="25" t="s">
        <v>364</v>
      </c>
      <c r="B23" s="26" t="s">
        <v>364</v>
      </c>
      <c r="C23" s="27" t="s">
        <v>364</v>
      </c>
      <c r="D23" s="28" t="str">
        <f>=Dashboard!A32</f>
        <v>TASK-DB-008</v>
      </c>
      <c r="E23" s="26" t="str">
        <f>=Dashboard!C32</f>
        <v>Feedback schema</v>
      </c>
      <c r="F23" s="29" t="str">
        <f>=Dashboard!D32</f>
        <v>Fathima Hana</v>
      </c>
      <c r="G23" s="30" t="s">
        <v>364</v>
      </c>
      <c r="H23" s="26" t="s">
        <v>364</v>
      </c>
      <c r="I23" s="31" t="s">
        <v>364</v>
      </c>
      <c r="J23" s="32" t="s">
        <v>364</v>
      </c>
      <c r="K23" s="26" t="s">
        <v>364</v>
      </c>
      <c r="L23" s="33" t="s">
        <v>364</v>
      </c>
      <c r="M23" s="34" t="s">
        <v>364</v>
      </c>
      <c r="N23" s="26" t="s">
        <v>364</v>
      </c>
      <c r="O23" s="35" t="s">
        <v>364</v>
      </c>
    </row>
    <row r="24" ht="18" customHeight="1" spans="1:15" x14ac:dyDescent="0.25">
      <c r="A24" s="25" t="s">
        <v>364</v>
      </c>
      <c r="B24" s="26" t="s">
        <v>364</v>
      </c>
      <c r="C24" s="27" t="s">
        <v>364</v>
      </c>
      <c r="D24" s="28" t="str">
        <f>=Dashboard!A33</f>
        <v>TASK-DB-009</v>
      </c>
      <c r="E24" s="26" t="str">
        <f>=Dashboard!C33</f>
        <v>Attendance schema</v>
      </c>
      <c r="F24" s="29" t="str">
        <f>=Dashboard!D33</f>
        <v>Fathima Hana</v>
      </c>
      <c r="G24" s="30" t="s">
        <v>364</v>
      </c>
      <c r="H24" s="26" t="s">
        <v>364</v>
      </c>
      <c r="I24" s="31" t="s">
        <v>364</v>
      </c>
      <c r="J24" s="32" t="s">
        <v>364</v>
      </c>
      <c r="K24" s="26" t="s">
        <v>364</v>
      </c>
      <c r="L24" s="33" t="s">
        <v>364</v>
      </c>
      <c r="M24" s="34" t="s">
        <v>364</v>
      </c>
      <c r="N24" s="26" t="s">
        <v>364</v>
      </c>
      <c r="O24" s="35" t="s">
        <v>364</v>
      </c>
    </row>
    <row r="25" ht="18" customHeight="1" spans="1:15" x14ac:dyDescent="0.25">
      <c r="A25" s="25" t="s">
        <v>364</v>
      </c>
      <c r="B25" s="26" t="s">
        <v>364</v>
      </c>
      <c r="C25" s="27" t="s">
        <v>364</v>
      </c>
      <c r="D25" s="28" t="str">
        <f>=Dashboard!A34</f>
        <v>TASK-DB-010</v>
      </c>
      <c r="E25" s="26" t="str">
        <f>=Dashboard!C34</f>
        <v>Notification schema</v>
      </c>
      <c r="F25" s="29" t="str">
        <f>=Dashboard!D34</f>
        <v>Fathima Hana</v>
      </c>
      <c r="G25" s="30" t="s">
        <v>364</v>
      </c>
      <c r="H25" s="26" t="s">
        <v>364</v>
      </c>
      <c r="I25" s="31" t="s">
        <v>364</v>
      </c>
      <c r="J25" s="32" t="s">
        <v>364</v>
      </c>
      <c r="K25" s="26" t="s">
        <v>364</v>
      </c>
      <c r="L25" s="33" t="s">
        <v>364</v>
      </c>
      <c r="M25" s="34" t="s">
        <v>364</v>
      </c>
      <c r="N25" s="26" t="s">
        <v>364</v>
      </c>
      <c r="O25" s="35" t="s">
        <v>364</v>
      </c>
    </row>
    <row r="26" ht="18" customHeight="1" spans="1:15" x14ac:dyDescent="0.25">
      <c r="A26" s="25" t="s">
        <v>364</v>
      </c>
      <c r="B26" s="26" t="s">
        <v>364</v>
      </c>
      <c r="C26" s="27" t="s">
        <v>364</v>
      </c>
      <c r="D26" s="28" t="str">
        <f>=Dashboard!A35</f>
        <v>TASK-DB-011</v>
      </c>
      <c r="E26" s="26" t="str">
        <f>=Dashboard!C35</f>
        <v>Audit log schema</v>
      </c>
      <c r="F26" s="29" t="str">
        <f>=Dashboard!D35</f>
        <v>Fathima Hana</v>
      </c>
      <c r="G26" s="30" t="s">
        <v>364</v>
      </c>
      <c r="H26" s="26" t="s">
        <v>364</v>
      </c>
      <c r="I26" s="31" t="s">
        <v>364</v>
      </c>
      <c r="J26" s="32" t="s">
        <v>364</v>
      </c>
      <c r="K26" s="26" t="s">
        <v>364</v>
      </c>
      <c r="L26" s="33" t="s">
        <v>364</v>
      </c>
      <c r="M26" s="34" t="s">
        <v>364</v>
      </c>
      <c r="N26" s="26" t="s">
        <v>364</v>
      </c>
      <c r="O26" s="35" t="s">
        <v>364</v>
      </c>
    </row>
    <row r="27" ht="18" customHeight="1" spans="1:15" x14ac:dyDescent="0.25">
      <c r="A27" s="25" t="s">
        <v>364</v>
      </c>
      <c r="B27" s="26" t="s">
        <v>364</v>
      </c>
      <c r="C27" s="27" t="s">
        <v>364</v>
      </c>
      <c r="D27" s="28" t="str">
        <f>=Dashboard!A36</f>
        <v>TASK-DB-012</v>
      </c>
      <c r="E27" s="26" t="str">
        <f>=Dashboard!C36</f>
        <v>Chatbot session schema</v>
      </c>
      <c r="F27" s="29" t="str">
        <f>=Dashboard!D36</f>
        <v>Fathima Hana</v>
      </c>
      <c r="G27" s="30" t="s">
        <v>364</v>
      </c>
      <c r="H27" s="26" t="s">
        <v>364</v>
      </c>
      <c r="I27" s="31" t="s">
        <v>364</v>
      </c>
      <c r="J27" s="32" t="s">
        <v>364</v>
      </c>
      <c r="K27" s="26" t="s">
        <v>364</v>
      </c>
      <c r="L27" s="33" t="s">
        <v>364</v>
      </c>
      <c r="M27" s="34" t="s">
        <v>364</v>
      </c>
      <c r="N27" s="26" t="s">
        <v>364</v>
      </c>
      <c r="O27" s="35" t="s">
        <v>364</v>
      </c>
    </row>
    <row r="28" ht="18" customHeight="1" spans="1:15" x14ac:dyDescent="0.25">
      <c r="A28" s="25" t="s">
        <v>364</v>
      </c>
      <c r="B28" s="26" t="s">
        <v>364</v>
      </c>
      <c r="C28" s="27" t="s">
        <v>364</v>
      </c>
      <c r="D28" s="28" t="str">
        <f>=Dashboard!A37</f>
        <v>TASK-DB-013</v>
      </c>
      <c r="E28" s="26" t="str">
        <f>=Dashboard!C37</f>
        <v>Indexes</v>
      </c>
      <c r="F28" s="29" t="str">
        <f>=Dashboard!D37</f>
        <v>Fathima Hana</v>
      </c>
      <c r="G28" s="30" t="s">
        <v>364</v>
      </c>
      <c r="H28" s="26" t="s">
        <v>364</v>
      </c>
      <c r="I28" s="31" t="s">
        <v>364</v>
      </c>
      <c r="J28" s="32" t="s">
        <v>364</v>
      </c>
      <c r="K28" s="26" t="s">
        <v>364</v>
      </c>
      <c r="L28" s="33" t="s">
        <v>364</v>
      </c>
      <c r="M28" s="34" t="s">
        <v>364</v>
      </c>
      <c r="N28" s="26" t="s">
        <v>364</v>
      </c>
      <c r="O28" s="35" t="s">
        <v>364</v>
      </c>
    </row>
    <row r="29" ht="18" customHeight="1" spans="1:15" x14ac:dyDescent="0.25">
      <c r="A29" s="25" t="s">
        <v>364</v>
      </c>
      <c r="B29" s="26" t="s">
        <v>364</v>
      </c>
      <c r="C29" s="27" t="s">
        <v>364</v>
      </c>
      <c r="D29" s="28" t="str">
        <f>=Dashboard!A38</f>
        <v>TASK-DB-014</v>
      </c>
      <c r="E29" s="26" t="str">
        <f>=Dashboard!C38</f>
        <v>Relationships</v>
      </c>
      <c r="F29" s="29" t="str">
        <f>=Dashboard!D38</f>
        <v>Fathima Hana</v>
      </c>
      <c r="G29" s="30" t="s">
        <v>364</v>
      </c>
      <c r="H29" s="26" t="s">
        <v>364</v>
      </c>
      <c r="I29" s="31" t="s">
        <v>364</v>
      </c>
      <c r="J29" s="32" t="s">
        <v>364</v>
      </c>
      <c r="K29" s="26" t="s">
        <v>364</v>
      </c>
      <c r="L29" s="33" t="s">
        <v>364</v>
      </c>
      <c r="M29" s="34" t="s">
        <v>364</v>
      </c>
      <c r="N29" s="26" t="s">
        <v>364</v>
      </c>
      <c r="O29" s="35" t="s">
        <v>364</v>
      </c>
    </row>
    <row r="30" ht="18" customHeight="1" spans="1:15" x14ac:dyDescent="0.25">
      <c r="A30" s="25" t="s">
        <v>364</v>
      </c>
      <c r="B30" s="26" t="s">
        <v>364</v>
      </c>
      <c r="C30" s="27" t="s">
        <v>364</v>
      </c>
      <c r="D30" s="28" t="str">
        <f>=Dashboard!A39</f>
        <v>TASK-DB-015</v>
      </c>
      <c r="E30" s="26" t="str">
        <f>=Dashboard!C39</f>
        <v>Validation rules</v>
      </c>
      <c r="F30" s="29" t="str">
        <f>=Dashboard!D39</f>
        <v>Fathima Hana</v>
      </c>
      <c r="G30" s="30" t="s">
        <v>364</v>
      </c>
      <c r="H30" s="26" t="s">
        <v>364</v>
      </c>
      <c r="I30" s="31" t="s">
        <v>364</v>
      </c>
      <c r="J30" s="32" t="s">
        <v>364</v>
      </c>
      <c r="K30" s="26" t="s">
        <v>364</v>
      </c>
      <c r="L30" s="33" t="s">
        <v>364</v>
      </c>
      <c r="M30" s="34" t="s">
        <v>364</v>
      </c>
      <c r="N30" s="26" t="s">
        <v>364</v>
      </c>
      <c r="O30" s="35" t="s">
        <v>364</v>
      </c>
    </row>
    <row r="31" ht="18" customHeight="1" spans="1:15" x14ac:dyDescent="0.25">
      <c r="A31" s="25" t="s">
        <v>364</v>
      </c>
      <c r="B31" s="26" t="s">
        <v>364</v>
      </c>
      <c r="C31" s="27" t="s">
        <v>364</v>
      </c>
      <c r="D31" s="28" t="str">
        <f>=Dashboard!A40</f>
        <v>TASK-DB-016</v>
      </c>
      <c r="E31" s="26" t="str">
        <f>=Dashboard!C40</f>
        <v>Query optimization</v>
      </c>
      <c r="F31" s="29" t="str">
        <f>=Dashboard!D40</f>
        <v>Fathima Hana</v>
      </c>
      <c r="G31" s="30" t="s">
        <v>364</v>
      </c>
      <c r="H31" s="26" t="s">
        <v>364</v>
      </c>
      <c r="I31" s="31" t="s">
        <v>364</v>
      </c>
      <c r="J31" s="32" t="s">
        <v>364</v>
      </c>
      <c r="K31" s="26" t="s">
        <v>364</v>
      </c>
      <c r="L31" s="33" t="s">
        <v>364</v>
      </c>
      <c r="M31" s="34" t="s">
        <v>364</v>
      </c>
      <c r="N31" s="26" t="s">
        <v>364</v>
      </c>
      <c r="O31" s="35" t="s">
        <v>364</v>
      </c>
    </row>
    <row r="32" ht="18" customHeight="1" spans="1:15" x14ac:dyDescent="0.25">
      <c r="A32" s="25" t="s">
        <v>364</v>
      </c>
      <c r="B32" s="26" t="s">
        <v>364</v>
      </c>
      <c r="C32" s="27" t="s">
        <v>364</v>
      </c>
      <c r="D32" s="28" t="str">
        <f>=Dashboard!A41</f>
        <v>TASK-BE-001</v>
      </c>
      <c r="E32" s="26" t="str">
        <f>=Dashboard!C41</f>
        <v>Express setup</v>
      </c>
      <c r="F32" s="29" t="str">
        <f>=Dashboard!D41</f>
        <v>Muhammad Sanish</v>
      </c>
      <c r="G32" s="30" t="s">
        <v>364</v>
      </c>
      <c r="H32" s="26" t="s">
        <v>364</v>
      </c>
      <c r="I32" s="31" t="s">
        <v>364</v>
      </c>
      <c r="J32" s="32" t="s">
        <v>364</v>
      </c>
      <c r="K32" s="26" t="s">
        <v>364</v>
      </c>
      <c r="L32" s="33" t="s">
        <v>364</v>
      </c>
      <c r="M32" s="34" t="s">
        <v>364</v>
      </c>
      <c r="N32" s="26" t="s">
        <v>364</v>
      </c>
      <c r="O32" s="35" t="s">
        <v>364</v>
      </c>
    </row>
    <row r="33" ht="18" customHeight="1" spans="1:15" x14ac:dyDescent="0.25">
      <c r="A33" s="25" t="s">
        <v>364</v>
      </c>
      <c r="B33" s="26" t="s">
        <v>364</v>
      </c>
      <c r="C33" s="27" t="s">
        <v>364</v>
      </c>
      <c r="D33" s="28" t="str">
        <f>=Dashboard!A42</f>
        <v>TASK-BE-002</v>
      </c>
      <c r="E33" s="26" t="str">
        <f>=Dashboard!C42</f>
        <v>MongoDB connection</v>
      </c>
      <c r="F33" s="29" t="str">
        <f>=Dashboard!D42</f>
        <v>Muhammad Sanish</v>
      </c>
      <c r="G33" s="30" t="s">
        <v>364</v>
      </c>
      <c r="H33" s="26" t="s">
        <v>364</v>
      </c>
      <c r="I33" s="31" t="s">
        <v>364</v>
      </c>
      <c r="J33" s="32" t="s">
        <v>364</v>
      </c>
      <c r="K33" s="26" t="s">
        <v>364</v>
      </c>
      <c r="L33" s="33" t="s">
        <v>364</v>
      </c>
      <c r="M33" s="34" t="s">
        <v>364</v>
      </c>
      <c r="N33" s="26" t="s">
        <v>364</v>
      </c>
      <c r="O33" s="35" t="s">
        <v>364</v>
      </c>
    </row>
    <row r="34" ht="18" customHeight="1" spans="1:15" x14ac:dyDescent="0.25">
      <c r="A34" s="25" t="s">
        <v>364</v>
      </c>
      <c r="B34" s="26" t="s">
        <v>364</v>
      </c>
      <c r="C34" s="27" t="s">
        <v>364</v>
      </c>
      <c r="D34" s="28" t="str">
        <f>=Dashboard!A43</f>
        <v>TASK-BE-003</v>
      </c>
      <c r="E34" s="26" t="str">
        <f>=Dashboard!C43</f>
        <v>Environment configuration</v>
      </c>
      <c r="F34" s="29" t="str">
        <f>=Dashboard!D43</f>
        <v>Muhammad Sanish</v>
      </c>
      <c r="G34" s="30" t="s">
        <v>364</v>
      </c>
      <c r="H34" s="26" t="s">
        <v>364</v>
      </c>
      <c r="I34" s="31" t="s">
        <v>364</v>
      </c>
      <c r="J34" s="32" t="s">
        <v>364</v>
      </c>
      <c r="K34" s="26" t="s">
        <v>364</v>
      </c>
      <c r="L34" s="33" t="s">
        <v>364</v>
      </c>
      <c r="M34" s="34" t="s">
        <v>364</v>
      </c>
      <c r="N34" s="26" t="s">
        <v>364</v>
      </c>
      <c r="O34" s="35" t="s">
        <v>364</v>
      </c>
    </row>
    <row r="35" ht="18" customHeight="1" spans="1:15" x14ac:dyDescent="0.25">
      <c r="A35" s="25" t="s">
        <v>364</v>
      </c>
      <c r="B35" s="26" t="s">
        <v>364</v>
      </c>
      <c r="C35" s="27" t="s">
        <v>364</v>
      </c>
      <c r="D35" s="28" t="str">
        <f>=Dashboard!A44</f>
        <v>TASK-BE-004</v>
      </c>
      <c r="E35" s="26" t="str">
        <f>=Dashboard!C44</f>
        <v>Authentication APIs</v>
      </c>
      <c r="F35" s="29" t="str">
        <f>=Dashboard!D44</f>
        <v>Muhammad Sanish</v>
      </c>
      <c r="G35" s="30" t="s">
        <v>364</v>
      </c>
      <c r="H35" s="26" t="s">
        <v>364</v>
      </c>
      <c r="I35" s="31" t="s">
        <v>364</v>
      </c>
      <c r="J35" s="32" t="s">
        <v>364</v>
      </c>
      <c r="K35" s="26" t="s">
        <v>364</v>
      </c>
      <c r="L35" s="33" t="s">
        <v>364</v>
      </c>
      <c r="M35" s="34" t="s">
        <v>364</v>
      </c>
      <c r="N35" s="26" t="s">
        <v>364</v>
      </c>
      <c r="O35" s="35" t="s">
        <v>364</v>
      </c>
    </row>
    <row r="36" ht="18" customHeight="1" spans="1:15" x14ac:dyDescent="0.25">
      <c r="A36" s="25" t="s">
        <v>364</v>
      </c>
      <c r="B36" s="26" t="s">
        <v>364</v>
      </c>
      <c r="C36" s="27" t="s">
        <v>364</v>
      </c>
      <c r="D36" s="28" t="str">
        <f>=Dashboard!A45</f>
        <v>TASK-BE-005</v>
      </c>
      <c r="E36" s="26" t="str">
        <f>=Dashboard!C45</f>
        <v>JWT implementation</v>
      </c>
      <c r="F36" s="29" t="str">
        <f>=Dashboard!D45</f>
        <v>Muhammad Sanish</v>
      </c>
      <c r="G36" s="30" t="s">
        <v>364</v>
      </c>
      <c r="H36" s="26" t="s">
        <v>364</v>
      </c>
      <c r="I36" s="31" t="s">
        <v>364</v>
      </c>
      <c r="J36" s="32" t="s">
        <v>364</v>
      </c>
      <c r="K36" s="26" t="s">
        <v>364</v>
      </c>
      <c r="L36" s="33" t="s">
        <v>364</v>
      </c>
      <c r="M36" s="34" t="s">
        <v>364</v>
      </c>
      <c r="N36" s="26" t="s">
        <v>364</v>
      </c>
      <c r="O36" s="35" t="s">
        <v>364</v>
      </c>
    </row>
    <row r="37" ht="18" customHeight="1" spans="1:15" x14ac:dyDescent="0.25">
      <c r="A37" s="25" t="s">
        <v>364</v>
      </c>
      <c r="B37" s="26" t="s">
        <v>364</v>
      </c>
      <c r="C37" s="27" t="s">
        <v>364</v>
      </c>
      <c r="D37" s="28" t="str">
        <f>=Dashboard!A46</f>
        <v>TASK-BE-006</v>
      </c>
      <c r="E37" s="26" t="str">
        <f>=Dashboard!C46</f>
        <v>Refresh token API</v>
      </c>
      <c r="F37" s="29" t="str">
        <f>=Dashboard!D46</f>
        <v>Muhammad Sanish</v>
      </c>
      <c r="G37" s="30" t="s">
        <v>364</v>
      </c>
      <c r="H37" s="26" t="s">
        <v>364</v>
      </c>
      <c r="I37" s="31" t="s">
        <v>364</v>
      </c>
      <c r="J37" s="32" t="s">
        <v>364</v>
      </c>
      <c r="K37" s="26" t="s">
        <v>364</v>
      </c>
      <c r="L37" s="33" t="s">
        <v>364</v>
      </c>
      <c r="M37" s="34" t="s">
        <v>364</v>
      </c>
      <c r="N37" s="26" t="s">
        <v>364</v>
      </c>
      <c r="O37" s="35" t="s">
        <v>364</v>
      </c>
    </row>
    <row r="38" ht="18" customHeight="1" spans="1:15" x14ac:dyDescent="0.25">
      <c r="A38" s="25" t="s">
        <v>364</v>
      </c>
      <c r="B38" s="26" t="s">
        <v>364</v>
      </c>
      <c r="C38" s="27" t="s">
        <v>364</v>
      </c>
      <c r="D38" s="28" t="str">
        <f>=Dashboard!A47</f>
        <v>TASK-BE-007</v>
      </c>
      <c r="E38" s="26" t="str">
        <f>=Dashboard!C47</f>
        <v>Logout API</v>
      </c>
      <c r="F38" s="29" t="str">
        <f>=Dashboard!D47</f>
        <v>Muhammad Sanish</v>
      </c>
      <c r="G38" s="30" t="s">
        <v>364</v>
      </c>
      <c r="H38" s="26" t="s">
        <v>364</v>
      </c>
      <c r="I38" s="31" t="s">
        <v>364</v>
      </c>
      <c r="J38" s="32" t="s">
        <v>364</v>
      </c>
      <c r="K38" s="26" t="s">
        <v>364</v>
      </c>
      <c r="L38" s="33" t="s">
        <v>364</v>
      </c>
      <c r="M38" s="34" t="s">
        <v>364</v>
      </c>
      <c r="N38" s="26" t="s">
        <v>364</v>
      </c>
      <c r="O38" s="35" t="s">
        <v>364</v>
      </c>
    </row>
    <row r="39" ht="18" customHeight="1" spans="1:15" x14ac:dyDescent="0.25">
      <c r="A39" s="25" t="s">
        <v>364</v>
      </c>
      <c r="B39" s="26" t="s">
        <v>364</v>
      </c>
      <c r="C39" s="27" t="s">
        <v>364</v>
      </c>
      <c r="D39" s="28" t="str">
        <f>=Dashboard!A48</f>
        <v>TASK-BE-008</v>
      </c>
      <c r="E39" s="26" t="str">
        <f>=Dashboard!C48</f>
        <v>RBAC middleware</v>
      </c>
      <c r="F39" s="29" t="str">
        <f>=Dashboard!D48</f>
        <v>Muhammad Sanish</v>
      </c>
      <c r="G39" s="30" t="s">
        <v>364</v>
      </c>
      <c r="H39" s="26" t="s">
        <v>364</v>
      </c>
      <c r="I39" s="31" t="s">
        <v>364</v>
      </c>
      <c r="J39" s="32" t="s">
        <v>364</v>
      </c>
      <c r="K39" s="26" t="s">
        <v>364</v>
      </c>
      <c r="L39" s="33" t="s">
        <v>364</v>
      </c>
      <c r="M39" s="34" t="s">
        <v>364</v>
      </c>
      <c r="N39" s="26" t="s">
        <v>364</v>
      </c>
      <c r="O39" s="35" t="s">
        <v>364</v>
      </c>
    </row>
    <row r="40" ht="18" customHeight="1" spans="1:15" x14ac:dyDescent="0.25">
      <c r="A40" s="25" t="s">
        <v>364</v>
      </c>
      <c r="B40" s="26" t="s">
        <v>364</v>
      </c>
      <c r="C40" s="27" t="s">
        <v>364</v>
      </c>
      <c r="D40" s="28" t="str">
        <f>=Dashboard!A49</f>
        <v>TASK-BE-009</v>
      </c>
      <c r="E40" s="26" t="str">
        <f>=Dashboard!C49</f>
        <v>Audit logging</v>
      </c>
      <c r="F40" s="29" t="str">
        <f>=Dashboard!D49</f>
        <v>Muhammad Sanish</v>
      </c>
      <c r="G40" s="30" t="s">
        <v>364</v>
      </c>
      <c r="H40" s="26" t="s">
        <v>364</v>
      </c>
      <c r="I40" s="31" t="s">
        <v>364</v>
      </c>
      <c r="J40" s="32" t="s">
        <v>364</v>
      </c>
      <c r="K40" s="26" t="s">
        <v>364</v>
      </c>
      <c r="L40" s="33" t="s">
        <v>364</v>
      </c>
      <c r="M40" s="34" t="s">
        <v>364</v>
      </c>
      <c r="N40" s="26" t="s">
        <v>364</v>
      </c>
      <c r="O40" s="35" t="s">
        <v>364</v>
      </c>
    </row>
    <row r="41" ht="18" customHeight="1" spans="1:15" x14ac:dyDescent="0.25">
      <c r="A41" s="25" t="s">
        <v>364</v>
      </c>
      <c r="B41" s="26" t="s">
        <v>364</v>
      </c>
      <c r="C41" s="27" t="s">
        <v>364</v>
      </c>
      <c r="D41" s="28" t="str">
        <f>=Dashboard!A50</f>
        <v>TASK-BE-010</v>
      </c>
      <c r="E41" s="26" t="str">
        <f>=Dashboard!C50</f>
        <v>Error middleware</v>
      </c>
      <c r="F41" s="29" t="str">
        <f>=Dashboard!D50</f>
        <v>Muhammad Sanish</v>
      </c>
      <c r="G41" s="30" t="s">
        <v>364</v>
      </c>
      <c r="H41" s="26" t="s">
        <v>364</v>
      </c>
      <c r="I41" s="31" t="s">
        <v>364</v>
      </c>
      <c r="J41" s="32" t="s">
        <v>364</v>
      </c>
      <c r="K41" s="26" t="s">
        <v>364</v>
      </c>
      <c r="L41" s="33" t="s">
        <v>364</v>
      </c>
      <c r="M41" s="34" t="s">
        <v>364</v>
      </c>
      <c r="N41" s="26" t="s">
        <v>364</v>
      </c>
      <c r="O41" s="35" t="s">
        <v>364</v>
      </c>
    </row>
    <row r="42" ht="18" customHeight="1" spans="1:15" x14ac:dyDescent="0.25">
      <c r="A42" s="25" t="s">
        <v>364</v>
      </c>
      <c r="B42" s="26" t="s">
        <v>364</v>
      </c>
      <c r="C42" s="27" t="s">
        <v>364</v>
      </c>
      <c r="D42" s="28" t="str">
        <f>=Dashboard!A51</f>
        <v>TASK-BE-011</v>
      </c>
      <c r="E42" s="26" t="str">
        <f>=Dashboard!C51</f>
        <v>Validation middleware</v>
      </c>
      <c r="F42" s="29" t="str">
        <f>=Dashboard!D51</f>
        <v>Muhammad Sanish</v>
      </c>
      <c r="G42" s="30" t="s">
        <v>364</v>
      </c>
      <c r="H42" s="26" t="s">
        <v>364</v>
      </c>
      <c r="I42" s="31" t="s">
        <v>364</v>
      </c>
      <c r="J42" s="32" t="s">
        <v>364</v>
      </c>
      <c r="K42" s="26" t="s">
        <v>364</v>
      </c>
      <c r="L42" s="33" t="s">
        <v>364</v>
      </c>
      <c r="M42" s="34" t="s">
        <v>364</v>
      </c>
      <c r="N42" s="26" t="s">
        <v>364</v>
      </c>
      <c r="O42" s="35" t="s">
        <v>364</v>
      </c>
    </row>
    <row r="43" ht="18" customHeight="1" spans="1:15" x14ac:dyDescent="0.25">
      <c r="A43" s="25" t="s">
        <v>364</v>
      </c>
      <c r="B43" s="26" t="s">
        <v>364</v>
      </c>
      <c r="C43" s="27" t="s">
        <v>364</v>
      </c>
      <c r="D43" s="28" t="str">
        <f>=Dashboard!A52</f>
        <v>TASK-BE-012</v>
      </c>
      <c r="E43" s="26" t="str">
        <f>=Dashboard!C52</f>
        <v>Complaint APIs</v>
      </c>
      <c r="F43" s="29" t="str">
        <f>=Dashboard!D52</f>
        <v>Muhammad Sanish</v>
      </c>
      <c r="G43" s="30" t="s">
        <v>364</v>
      </c>
      <c r="H43" s="26" t="s">
        <v>364</v>
      </c>
      <c r="I43" s="31" t="s">
        <v>364</v>
      </c>
      <c r="J43" s="32" t="s">
        <v>364</v>
      </c>
      <c r="K43" s="26" t="s">
        <v>364</v>
      </c>
      <c r="L43" s="33" t="s">
        <v>364</v>
      </c>
      <c r="M43" s="34" t="s">
        <v>364</v>
      </c>
      <c r="N43" s="26" t="s">
        <v>364</v>
      </c>
      <c r="O43" s="35" t="s">
        <v>364</v>
      </c>
    </row>
    <row r="44" ht="18" customHeight="1" spans="1:15" x14ac:dyDescent="0.25">
      <c r="A44" s="25" t="s">
        <v>364</v>
      </c>
      <c r="B44" s="26" t="s">
        <v>364</v>
      </c>
      <c r="C44" s="27" t="s">
        <v>364</v>
      </c>
      <c r="D44" s="28" t="str">
        <f>=Dashboard!A53</f>
        <v>TASK-BE-013</v>
      </c>
      <c r="E44" s="26" t="str">
        <f>=Dashboard!C53</f>
        <v>File Tracking APIs</v>
      </c>
      <c r="F44" s="29" t="str">
        <f>=Dashboard!D53</f>
        <v>Muhammad Sanish</v>
      </c>
      <c r="G44" s="30" t="s">
        <v>364</v>
      </c>
      <c r="H44" s="26" t="s">
        <v>364</v>
      </c>
      <c r="I44" s="31" t="s">
        <v>364</v>
      </c>
      <c r="J44" s="32" t="s">
        <v>364</v>
      </c>
      <c r="K44" s="26" t="s">
        <v>364</v>
      </c>
      <c r="L44" s="33" t="s">
        <v>364</v>
      </c>
      <c r="M44" s="34" t="s">
        <v>364</v>
      </c>
      <c r="N44" s="26" t="s">
        <v>364</v>
      </c>
      <c r="O44" s="35" t="s">
        <v>364</v>
      </c>
    </row>
    <row r="45" ht="18" customHeight="1" spans="1:15" x14ac:dyDescent="0.25">
      <c r="A45" s="25" t="s">
        <v>364</v>
      </c>
      <c r="B45" s="26" t="s">
        <v>364</v>
      </c>
      <c r="C45" s="27" t="s">
        <v>364</v>
      </c>
      <c r="D45" s="28" t="str">
        <f>=Dashboard!A54</f>
        <v>TASK-BE-014</v>
      </c>
      <c r="E45" s="26" t="str">
        <f>=Dashboard!C54</f>
        <v>Feedback APIs</v>
      </c>
      <c r="F45" s="29" t="str">
        <f>=Dashboard!D54</f>
        <v>Muhammad Sanish</v>
      </c>
      <c r="G45" s="30" t="s">
        <v>364</v>
      </c>
      <c r="H45" s="26" t="s">
        <v>364</v>
      </c>
      <c r="I45" s="31" t="s">
        <v>364</v>
      </c>
      <c r="J45" s="32" t="s">
        <v>364</v>
      </c>
      <c r="K45" s="26" t="s">
        <v>364</v>
      </c>
      <c r="L45" s="33" t="s">
        <v>364</v>
      </c>
      <c r="M45" s="34" t="s">
        <v>364</v>
      </c>
      <c r="N45" s="26" t="s">
        <v>364</v>
      </c>
      <c r="O45" s="35" t="s">
        <v>364</v>
      </c>
    </row>
    <row r="46" ht="18" customHeight="1" spans="1:15" x14ac:dyDescent="0.25">
      <c r="A46" s="25" t="s">
        <v>364</v>
      </c>
      <c r="B46" s="26" t="s">
        <v>364</v>
      </c>
      <c r="C46" s="27" t="s">
        <v>364</v>
      </c>
      <c r="D46" s="28" t="str">
        <f>=Dashboard!A55</f>
        <v>TASK-BE-015</v>
      </c>
      <c r="E46" s="26" t="str">
        <f>=Dashboard!C55</f>
        <v>Attendance APIs</v>
      </c>
      <c r="F46" s="29" t="str">
        <f>=Dashboard!D55</f>
        <v>Muhammad Sanish</v>
      </c>
      <c r="G46" s="30" t="s">
        <v>364</v>
      </c>
      <c r="H46" s="26" t="s">
        <v>364</v>
      </c>
      <c r="I46" s="31" t="s">
        <v>364</v>
      </c>
      <c r="J46" s="32" t="s">
        <v>364</v>
      </c>
      <c r="K46" s="26" t="s">
        <v>364</v>
      </c>
      <c r="L46" s="33" t="s">
        <v>364</v>
      </c>
      <c r="M46" s="34" t="s">
        <v>364</v>
      </c>
      <c r="N46" s="26" t="s">
        <v>364</v>
      </c>
      <c r="O46" s="35" t="s">
        <v>364</v>
      </c>
    </row>
    <row r="47" ht="18" customHeight="1" spans="1:15" x14ac:dyDescent="0.25">
      <c r="A47" s="25" t="s">
        <v>364</v>
      </c>
      <c r="B47" s="26" t="s">
        <v>364</v>
      </c>
      <c r="C47" s="27" t="s">
        <v>364</v>
      </c>
      <c r="D47" s="28" t="str">
        <f>=Dashboard!A56</f>
        <v>TASK-BE-016</v>
      </c>
      <c r="E47" s="26" t="str">
        <f>=Dashboard!C56</f>
        <v>Admin APIs</v>
      </c>
      <c r="F47" s="29" t="str">
        <f>=Dashboard!D56</f>
        <v>Muhammad Sanish</v>
      </c>
      <c r="G47" s="30" t="s">
        <v>364</v>
      </c>
      <c r="H47" s="26" t="s">
        <v>364</v>
      </c>
      <c r="I47" s="31" t="s">
        <v>364</v>
      </c>
      <c r="J47" s="32" t="s">
        <v>364</v>
      </c>
      <c r="K47" s="26" t="s">
        <v>364</v>
      </c>
      <c r="L47" s="33" t="s">
        <v>364</v>
      </c>
      <c r="M47" s="34" t="s">
        <v>364</v>
      </c>
      <c r="N47" s="26" t="s">
        <v>364</v>
      </c>
      <c r="O47" s="35" t="s">
        <v>364</v>
      </c>
    </row>
    <row r="48" ht="18" customHeight="1" spans="1:15" x14ac:dyDescent="0.25">
      <c r="A48" s="25" t="s">
        <v>364</v>
      </c>
      <c r="B48" s="26" t="s">
        <v>364</v>
      </c>
      <c r="C48" s="27" t="s">
        <v>364</v>
      </c>
      <c r="D48" s="28" t="str">
        <f>=Dashboard!A57</f>
        <v>TASK-BE-017</v>
      </c>
      <c r="E48" s="26" t="str">
        <f>=Dashboard!C57</f>
        <v>Notification APIs</v>
      </c>
      <c r="F48" s="29" t="str">
        <f>=Dashboard!D57</f>
        <v>Muhammad Sanish</v>
      </c>
      <c r="G48" s="30" t="s">
        <v>364</v>
      </c>
      <c r="H48" s="26" t="s">
        <v>364</v>
      </c>
      <c r="I48" s="31" t="s">
        <v>364</v>
      </c>
      <c r="J48" s="32" t="s">
        <v>364</v>
      </c>
      <c r="K48" s="26" t="s">
        <v>364</v>
      </c>
      <c r="L48" s="33" t="s">
        <v>364</v>
      </c>
      <c r="M48" s="34" t="s">
        <v>364</v>
      </c>
      <c r="N48" s="26" t="s">
        <v>364</v>
      </c>
      <c r="O48" s="35" t="s">
        <v>364</v>
      </c>
    </row>
    <row r="49" ht="18" customHeight="1" spans="1:15" x14ac:dyDescent="0.25">
      <c r="A49" s="25" t="s">
        <v>364</v>
      </c>
      <c r="B49" s="26" t="s">
        <v>364</v>
      </c>
      <c r="C49" s="27" t="s">
        <v>364</v>
      </c>
      <c r="D49" s="28" t="str">
        <f>=Dashboard!A58</f>
        <v>TASK-BE-018</v>
      </c>
      <c r="E49" s="26" t="str">
        <f>=Dashboard!C58</f>
        <v>Rate limiting</v>
      </c>
      <c r="F49" s="29" t="str">
        <f>=Dashboard!D58</f>
        <v>Muhammad Sanish</v>
      </c>
      <c r="G49" s="30" t="s">
        <v>364</v>
      </c>
      <c r="H49" s="26" t="s">
        <v>364</v>
      </c>
      <c r="I49" s="31" t="s">
        <v>364</v>
      </c>
      <c r="J49" s="32" t="s">
        <v>364</v>
      </c>
      <c r="K49" s="26" t="s">
        <v>364</v>
      </c>
      <c r="L49" s="33" t="s">
        <v>364</v>
      </c>
      <c r="M49" s="34" t="s">
        <v>364</v>
      </c>
      <c r="N49" s="26" t="s">
        <v>364</v>
      </c>
      <c r="O49" s="35" t="s">
        <v>364</v>
      </c>
    </row>
    <row r="50" ht="18" customHeight="1" spans="1:15" x14ac:dyDescent="0.25">
      <c r="A50" s="25" t="s">
        <v>364</v>
      </c>
      <c r="B50" s="26" t="s">
        <v>364</v>
      </c>
      <c r="C50" s="27" t="s">
        <v>364</v>
      </c>
      <c r="D50" s="28" t="str">
        <f>=Dashboard!A59</f>
        <v>TASK-BE-019</v>
      </c>
      <c r="E50" s="26" t="str">
        <f>=Dashboard!C59</f>
        <v>Health check API</v>
      </c>
      <c r="F50" s="29" t="str">
        <f>=Dashboard!D59</f>
        <v>Muhammad Sanish</v>
      </c>
      <c r="G50" s="30" t="s">
        <v>364</v>
      </c>
      <c r="H50" s="26" t="s">
        <v>364</v>
      </c>
      <c r="I50" s="31" t="s">
        <v>364</v>
      </c>
      <c r="J50" s="32" t="s">
        <v>364</v>
      </c>
      <c r="K50" s="26" t="s">
        <v>364</v>
      </c>
      <c r="L50" s="33" t="s">
        <v>364</v>
      </c>
      <c r="M50" s="34" t="s">
        <v>364</v>
      </c>
      <c r="N50" s="26" t="s">
        <v>364</v>
      </c>
      <c r="O50" s="35" t="s">
        <v>364</v>
      </c>
    </row>
    <row r="51" ht="18" customHeight="1" spans="1:15" x14ac:dyDescent="0.25">
      <c r="A51" s="25" t="s">
        <v>364</v>
      </c>
      <c r="B51" s="26" t="s">
        <v>364</v>
      </c>
      <c r="C51" s="27" t="s">
        <v>364</v>
      </c>
      <c r="D51" s="28" t="str">
        <f>=Dashboard!A60</f>
        <v>TASK-BE-020</v>
      </c>
      <c r="E51" s="26" t="str">
        <f>=Dashboard!C60</f>
        <v>API documentation</v>
      </c>
      <c r="F51" s="29" t="str">
        <f>=Dashboard!D60</f>
        <v>Muhammad Sanish</v>
      </c>
      <c r="G51" s="30" t="s">
        <v>364</v>
      </c>
      <c r="H51" s="26" t="s">
        <v>364</v>
      </c>
      <c r="I51" s="31" t="s">
        <v>364</v>
      </c>
      <c r="J51" s="32" t="s">
        <v>364</v>
      </c>
      <c r="K51" s="26" t="s">
        <v>364</v>
      </c>
      <c r="L51" s="33" t="s">
        <v>364</v>
      </c>
      <c r="M51" s="34" t="s">
        <v>364</v>
      </c>
      <c r="N51" s="26" t="s">
        <v>364</v>
      </c>
      <c r="O51" s="35" t="s">
        <v>364</v>
      </c>
    </row>
    <row r="52" ht="18" customHeight="1" spans="1:15" x14ac:dyDescent="0.25">
      <c r="A52" s="25" t="s">
        <v>364</v>
      </c>
      <c r="B52" s="26" t="s">
        <v>364</v>
      </c>
      <c r="C52" s="27" t="s">
        <v>364</v>
      </c>
      <c r="D52" s="28" t="str">
        <f>=Dashboard!A61</f>
        <v>TASK-FE-001</v>
      </c>
      <c r="E52" s="26" t="str">
        <f>=Dashboard!C61</f>
        <v>React project setup</v>
      </c>
      <c r="F52" s="29" t="str">
        <f>=Dashboard!D61</f>
        <v>Adithyan N</v>
      </c>
      <c r="G52" s="30" t="s">
        <v>364</v>
      </c>
      <c r="H52" s="26" t="s">
        <v>364</v>
      </c>
      <c r="I52" s="31" t="s">
        <v>364</v>
      </c>
      <c r="J52" s="32" t="s">
        <v>364</v>
      </c>
      <c r="K52" s="26" t="s">
        <v>364</v>
      </c>
      <c r="L52" s="33" t="s">
        <v>364</v>
      </c>
      <c r="M52" s="34" t="s">
        <v>364</v>
      </c>
      <c r="N52" s="26" t="s">
        <v>364</v>
      </c>
      <c r="O52" s="35" t="s">
        <v>364</v>
      </c>
    </row>
    <row r="53" ht="18" customHeight="1" spans="1:15" x14ac:dyDescent="0.25">
      <c r="A53" s="25" t="s">
        <v>364</v>
      </c>
      <c r="B53" s="26" t="s">
        <v>364</v>
      </c>
      <c r="C53" s="27" t="s">
        <v>364</v>
      </c>
      <c r="D53" s="28" t="str">
        <f>=Dashboard!A62</f>
        <v>TASK-FE-002</v>
      </c>
      <c r="E53" s="26" t="str">
        <f>=Dashboard!C62</f>
        <v>Tailwind setup</v>
      </c>
      <c r="F53" s="29" t="str">
        <f>=Dashboard!D62</f>
        <v>Adithyan N</v>
      </c>
      <c r="G53" s="30" t="s">
        <v>364</v>
      </c>
      <c r="H53" s="26" t="s">
        <v>364</v>
      </c>
      <c r="I53" s="31" t="s">
        <v>364</v>
      </c>
      <c r="J53" s="32" t="s">
        <v>364</v>
      </c>
      <c r="K53" s="26" t="s">
        <v>364</v>
      </c>
      <c r="L53" s="33" t="s">
        <v>364</v>
      </c>
      <c r="M53" s="34" t="s">
        <v>364</v>
      </c>
      <c r="N53" s="26" t="s">
        <v>364</v>
      </c>
      <c r="O53" s="35" t="s">
        <v>364</v>
      </c>
    </row>
    <row r="54" ht="18" customHeight="1" spans="1:15" x14ac:dyDescent="0.25">
      <c r="A54" s="25" t="s">
        <v>364</v>
      </c>
      <c r="B54" s="26" t="s">
        <v>364</v>
      </c>
      <c r="C54" s="27" t="s">
        <v>364</v>
      </c>
      <c r="D54" s="28" t="str">
        <f>=Dashboard!A63</f>
        <v>TASK-FE-003</v>
      </c>
      <c r="E54" s="26" t="str">
        <f>=Dashboard!C63</f>
        <v>Folder structure</v>
      </c>
      <c r="F54" s="29" t="str">
        <f>=Dashboard!D63</f>
        <v>Adithyan N</v>
      </c>
      <c r="G54" s="30" t="s">
        <v>364</v>
      </c>
      <c r="H54" s="26" t="s">
        <v>364</v>
      </c>
      <c r="I54" s="31" t="s">
        <v>364</v>
      </c>
      <c r="J54" s="32" t="s">
        <v>364</v>
      </c>
      <c r="K54" s="26" t="s">
        <v>364</v>
      </c>
      <c r="L54" s="33" t="s">
        <v>364</v>
      </c>
      <c r="M54" s="34" t="s">
        <v>364</v>
      </c>
      <c r="N54" s="26" t="s">
        <v>364</v>
      </c>
      <c r="O54" s="35" t="s">
        <v>364</v>
      </c>
    </row>
    <row r="55" ht="18" customHeight="1" spans="1:15" x14ac:dyDescent="0.25">
      <c r="A55" s="25" t="s">
        <v>364</v>
      </c>
      <c r="B55" s="26" t="s">
        <v>364</v>
      </c>
      <c r="C55" s="27" t="s">
        <v>364</v>
      </c>
      <c r="D55" s="28" t="str">
        <f>=Dashboard!A64</f>
        <v>TASK-FE-004</v>
      </c>
      <c r="E55" s="26" t="str">
        <f>=Dashboard!C64</f>
        <v>Global layout</v>
      </c>
      <c r="F55" s="29" t="str">
        <f>=Dashboard!D64</f>
        <v>Adithyan N</v>
      </c>
      <c r="G55" s="30" t="s">
        <v>364</v>
      </c>
      <c r="H55" s="26" t="s">
        <v>364</v>
      </c>
      <c r="I55" s="31" t="s">
        <v>364</v>
      </c>
      <c r="J55" s="32" t="s">
        <v>364</v>
      </c>
      <c r="K55" s="26" t="s">
        <v>364</v>
      </c>
      <c r="L55" s="33" t="s">
        <v>364</v>
      </c>
      <c r="M55" s="34" t="s">
        <v>364</v>
      </c>
      <c r="N55" s="26" t="s">
        <v>364</v>
      </c>
      <c r="O55" s="35" t="s">
        <v>364</v>
      </c>
    </row>
    <row r="56" ht="18" customHeight="1" spans="1:15" x14ac:dyDescent="0.25">
      <c r="A56" s="25" t="s">
        <v>364</v>
      </c>
      <c r="B56" s="26" t="s">
        <v>364</v>
      </c>
      <c r="C56" s="27" t="s">
        <v>364</v>
      </c>
      <c r="D56" s="28" t="str">
        <f>=Dashboard!A65</f>
        <v>TASK-FE-005</v>
      </c>
      <c r="E56" s="26" t="str">
        <f>=Dashboard!C65</f>
        <v>Routing</v>
      </c>
      <c r="F56" s="29" t="str">
        <f>=Dashboard!D65</f>
        <v>Adithyan N</v>
      </c>
      <c r="G56" s="30" t="s">
        <v>364</v>
      </c>
      <c r="H56" s="26" t="s">
        <v>364</v>
      </c>
      <c r="I56" s="31" t="s">
        <v>364</v>
      </c>
      <c r="J56" s="32" t="s">
        <v>364</v>
      </c>
      <c r="K56" s="26" t="s">
        <v>364</v>
      </c>
      <c r="L56" s="33" t="s">
        <v>364</v>
      </c>
      <c r="M56" s="34" t="s">
        <v>364</v>
      </c>
      <c r="N56" s="26" t="s">
        <v>364</v>
      </c>
      <c r="O56" s="35" t="s">
        <v>364</v>
      </c>
    </row>
    <row r="57" ht="18" customHeight="1" spans="1:15" x14ac:dyDescent="0.25">
      <c r="A57" s="25" t="s">
        <v>364</v>
      </c>
      <c r="B57" s="26" t="s">
        <v>364</v>
      </c>
      <c r="C57" s="27" t="s">
        <v>364</v>
      </c>
      <c r="D57" s="28" t="str">
        <f>=Dashboard!A66</f>
        <v>TASK-FE-006</v>
      </c>
      <c r="E57" s="26" t="str">
        <f>=Dashboard!C66</f>
        <v>Protected routes</v>
      </c>
      <c r="F57" s="29" t="str">
        <f>=Dashboard!D66</f>
        <v>Adithyan N</v>
      </c>
      <c r="G57" s="30" t="s">
        <v>364</v>
      </c>
      <c r="H57" s="26" t="s">
        <v>364</v>
      </c>
      <c r="I57" s="31" t="s">
        <v>364</v>
      </c>
      <c r="J57" s="32" t="s">
        <v>364</v>
      </c>
      <c r="K57" s="26" t="s">
        <v>364</v>
      </c>
      <c r="L57" s="33" t="s">
        <v>364</v>
      </c>
      <c r="M57" s="34" t="s">
        <v>364</v>
      </c>
      <c r="N57" s="26" t="s">
        <v>364</v>
      </c>
      <c r="O57" s="35" t="s">
        <v>364</v>
      </c>
    </row>
    <row r="58" ht="18" customHeight="1" spans="1:15" x14ac:dyDescent="0.25">
      <c r="A58" s="25" t="s">
        <v>364</v>
      </c>
      <c r="B58" s="26" t="s">
        <v>364</v>
      </c>
      <c r="C58" s="27" t="s">
        <v>364</v>
      </c>
      <c r="D58" s="28" t="str">
        <f>=Dashboard!A67</f>
        <v>TASK-FE-007</v>
      </c>
      <c r="E58" s="26" t="str">
        <f>=Dashboard!C67</f>
        <v>Axios client</v>
      </c>
      <c r="F58" s="29" t="str">
        <f>=Dashboard!D67</f>
        <v>Adithyan N</v>
      </c>
      <c r="G58" s="30" t="s">
        <v>364</v>
      </c>
      <c r="H58" s="26" t="s">
        <v>364</v>
      </c>
      <c r="I58" s="31" t="s">
        <v>364</v>
      </c>
      <c r="J58" s="32" t="s">
        <v>364</v>
      </c>
      <c r="K58" s="26" t="s">
        <v>364</v>
      </c>
      <c r="L58" s="33" t="s">
        <v>364</v>
      </c>
      <c r="M58" s="34" t="s">
        <v>364</v>
      </c>
      <c r="N58" s="26" t="s">
        <v>364</v>
      </c>
      <c r="O58" s="35" t="s">
        <v>364</v>
      </c>
    </row>
    <row r="59" ht="18" customHeight="1" spans="1:15" x14ac:dyDescent="0.25">
      <c r="A59" s="25" t="s">
        <v>364</v>
      </c>
      <c r="B59" s="26" t="s">
        <v>364</v>
      </c>
      <c r="C59" s="27" t="s">
        <v>364</v>
      </c>
      <c r="D59" s="28" t="str">
        <f>=Dashboard!A68</f>
        <v>TASK-FE-008</v>
      </c>
      <c r="E59" s="26" t="str">
        <f>=Dashboard!C68</f>
        <v>API interceptors</v>
      </c>
      <c r="F59" s="29" t="str">
        <f>=Dashboard!D68</f>
        <v>Adithyan N</v>
      </c>
      <c r="G59" s="30" t="s">
        <v>364</v>
      </c>
      <c r="H59" s="26" t="s">
        <v>364</v>
      </c>
      <c r="I59" s="31" t="s">
        <v>364</v>
      </c>
      <c r="J59" s="32" t="s">
        <v>364</v>
      </c>
      <c r="K59" s="26" t="s">
        <v>364</v>
      </c>
      <c r="L59" s="33" t="s">
        <v>364</v>
      </c>
      <c r="M59" s="34" t="s">
        <v>364</v>
      </c>
      <c r="N59" s="26" t="s">
        <v>364</v>
      </c>
      <c r="O59" s="35" t="s">
        <v>364</v>
      </c>
    </row>
    <row r="60" ht="18" customHeight="1" spans="1:15" x14ac:dyDescent="0.25">
      <c r="A60" s="25" t="s">
        <v>364</v>
      </c>
      <c r="B60" s="26" t="s">
        <v>364</v>
      </c>
      <c r="C60" s="27" t="s">
        <v>364</v>
      </c>
      <c r="D60" s="28" t="str">
        <f>=Dashboard!A69</f>
        <v>TASK-FE-009</v>
      </c>
      <c r="E60" s="26" t="str">
        <f>=Dashboard!C69</f>
        <v>Authentication pages</v>
      </c>
      <c r="F60" s="29" t="str">
        <f>=Dashboard!D69</f>
        <v>Adithyan N</v>
      </c>
      <c r="G60" s="30" t="s">
        <v>364</v>
      </c>
      <c r="H60" s="26" t="s">
        <v>364</v>
      </c>
      <c r="I60" s="31" t="s">
        <v>364</v>
      </c>
      <c r="J60" s="32" t="s">
        <v>364</v>
      </c>
      <c r="K60" s="26" t="s">
        <v>364</v>
      </c>
      <c r="L60" s="33" t="s">
        <v>364</v>
      </c>
      <c r="M60" s="34" t="s">
        <v>364</v>
      </c>
      <c r="N60" s="26" t="s">
        <v>364</v>
      </c>
      <c r="O60" s="35" t="s">
        <v>364</v>
      </c>
    </row>
    <row r="61" ht="18" customHeight="1" spans="1:15" x14ac:dyDescent="0.25">
      <c r="A61" s="25" t="s">
        <v>364</v>
      </c>
      <c r="B61" s="26" t="s">
        <v>364</v>
      </c>
      <c r="C61" s="27" t="s">
        <v>364</v>
      </c>
      <c r="D61" s="28" t="str">
        <f>=Dashboard!A70</f>
        <v>TASK-FE-010</v>
      </c>
      <c r="E61" s="26" t="str">
        <f>=Dashboard!C70</f>
        <v>Citizen Dashboard</v>
      </c>
      <c r="F61" s="29" t="str">
        <f>=Dashboard!D70</f>
        <v>Adithyan N</v>
      </c>
      <c r="G61" s="30" t="s">
        <v>364</v>
      </c>
      <c r="H61" s="26" t="s">
        <v>364</v>
      </c>
      <c r="I61" s="31" t="s">
        <v>364</v>
      </c>
      <c r="J61" s="32" t="s">
        <v>364</v>
      </c>
      <c r="K61" s="26" t="s">
        <v>364</v>
      </c>
      <c r="L61" s="33" t="s">
        <v>364</v>
      </c>
      <c r="M61" s="34" t="s">
        <v>364</v>
      </c>
      <c r="N61" s="26" t="s">
        <v>364</v>
      </c>
      <c r="O61" s="35" t="s">
        <v>364</v>
      </c>
    </row>
    <row r="62" ht="18" customHeight="1" spans="1:15" x14ac:dyDescent="0.25">
      <c r="A62" s="25" t="s">
        <v>364</v>
      </c>
      <c r="B62" s="26" t="s">
        <v>364</v>
      </c>
      <c r="C62" s="27" t="s">
        <v>364</v>
      </c>
      <c r="D62" s="28" t="str">
        <f>=Dashboard!A71</f>
        <v>TASK-FE-011</v>
      </c>
      <c r="E62" s="26" t="str">
        <f>=Dashboard!C71</f>
        <v>Complaint Management UI</v>
      </c>
      <c r="F62" s="29" t="str">
        <f>=Dashboard!D71</f>
        <v>Adithyan N</v>
      </c>
      <c r="G62" s="30" t="s">
        <v>364</v>
      </c>
      <c r="H62" s="26" t="s">
        <v>364</v>
      </c>
      <c r="I62" s="31" t="s">
        <v>364</v>
      </c>
      <c r="J62" s="32" t="s">
        <v>364</v>
      </c>
      <c r="K62" s="26" t="s">
        <v>364</v>
      </c>
      <c r="L62" s="33" t="s">
        <v>364</v>
      </c>
      <c r="M62" s="34" t="s">
        <v>364</v>
      </c>
      <c r="N62" s="26" t="s">
        <v>364</v>
      </c>
      <c r="O62" s="35" t="s">
        <v>364</v>
      </c>
    </row>
    <row r="63" ht="18" customHeight="1" spans="1:15" x14ac:dyDescent="0.25">
      <c r="A63" s="25" t="s">
        <v>364</v>
      </c>
      <c r="B63" s="26" t="s">
        <v>364</v>
      </c>
      <c r="C63" s="27" t="s">
        <v>364</v>
      </c>
      <c r="D63" s="28" t="str">
        <f>=Dashboard!A72</f>
        <v>TASK-FE-012</v>
      </c>
      <c r="E63" s="26" t="str">
        <f>=Dashboard!C72</f>
        <v>File Tracking UI</v>
      </c>
      <c r="F63" s="29" t="str">
        <f>=Dashboard!D72</f>
        <v>Adithyan N</v>
      </c>
      <c r="G63" s="30" t="s">
        <v>364</v>
      </c>
      <c r="H63" s="26" t="s">
        <v>364</v>
      </c>
      <c r="I63" s="31" t="s">
        <v>364</v>
      </c>
      <c r="J63" s="32" t="s">
        <v>364</v>
      </c>
      <c r="K63" s="26" t="s">
        <v>364</v>
      </c>
      <c r="L63" s="33" t="s">
        <v>364</v>
      </c>
      <c r="M63" s="34" t="s">
        <v>364</v>
      </c>
      <c r="N63" s="26" t="s">
        <v>364</v>
      </c>
      <c r="O63" s="35" t="s">
        <v>364</v>
      </c>
    </row>
    <row r="64" ht="18" customHeight="1" spans="1:15" x14ac:dyDescent="0.25">
      <c r="A64" s="25" t="s">
        <v>364</v>
      </c>
      <c r="B64" s="26" t="s">
        <v>364</v>
      </c>
      <c r="C64" s="27" t="s">
        <v>364</v>
      </c>
      <c r="D64" s="28" t="str">
        <f>=Dashboard!A73</f>
        <v>TASK-FE-013</v>
      </c>
      <c r="E64" s="26" t="str">
        <f>=Dashboard!C73</f>
        <v>Feedback UI</v>
      </c>
      <c r="F64" s="29" t="str">
        <f>=Dashboard!D73</f>
        <v>Adithyan N</v>
      </c>
      <c r="G64" s="30" t="s">
        <v>364</v>
      </c>
      <c r="H64" s="26" t="s">
        <v>364</v>
      </c>
      <c r="I64" s="31" t="s">
        <v>364</v>
      </c>
      <c r="J64" s="32" t="s">
        <v>364</v>
      </c>
      <c r="K64" s="26" t="s">
        <v>364</v>
      </c>
      <c r="L64" s="33" t="s">
        <v>364</v>
      </c>
      <c r="M64" s="34" t="s">
        <v>364</v>
      </c>
      <c r="N64" s="26" t="s">
        <v>364</v>
      </c>
      <c r="O64" s="35" t="s">
        <v>364</v>
      </c>
    </row>
    <row r="65" ht="18" customHeight="1" spans="1:15" x14ac:dyDescent="0.25">
      <c r="A65" s="25" t="s">
        <v>364</v>
      </c>
      <c r="B65" s="26" t="s">
        <v>364</v>
      </c>
      <c r="C65" s="27" t="s">
        <v>364</v>
      </c>
      <c r="D65" s="28" t="str">
        <f>=Dashboard!A74</f>
        <v>TASK-FE-014</v>
      </c>
      <c r="E65" s="26" t="str">
        <f>=Dashboard!C74</f>
        <v>Staff Dashboard UI</v>
      </c>
      <c r="F65" s="29" t="str">
        <f>=Dashboard!D74</f>
        <v>Adithyan N</v>
      </c>
      <c r="G65" s="30" t="s">
        <v>364</v>
      </c>
      <c r="H65" s="26" t="s">
        <v>364</v>
      </c>
      <c r="I65" s="31" t="s">
        <v>364</v>
      </c>
      <c r="J65" s="32" t="s">
        <v>364</v>
      </c>
      <c r="K65" s="26" t="s">
        <v>364</v>
      </c>
      <c r="L65" s="33" t="s">
        <v>364</v>
      </c>
      <c r="M65" s="34" t="s">
        <v>364</v>
      </c>
      <c r="N65" s="26" t="s">
        <v>364</v>
      </c>
      <c r="O65" s="35" t="s">
        <v>364</v>
      </c>
    </row>
    <row r="66" ht="18" customHeight="1" spans="1:15" x14ac:dyDescent="0.25">
      <c r="A66" s="25" t="s">
        <v>364</v>
      </c>
      <c r="B66" s="26" t="s">
        <v>364</v>
      </c>
      <c r="C66" s="27" t="s">
        <v>364</v>
      </c>
      <c r="D66" s="28" t="str">
        <f>=Dashboard!A75</f>
        <v>TASK-FE-015</v>
      </c>
      <c r="E66" s="26" t="str">
        <f>=Dashboard!C75</f>
        <v>Attendance UI</v>
      </c>
      <c r="F66" s="29" t="str">
        <f>=Dashboard!D75</f>
        <v>Adithyan N</v>
      </c>
      <c r="G66" s="30" t="s">
        <v>364</v>
      </c>
      <c r="H66" s="26" t="s">
        <v>364</v>
      </c>
      <c r="I66" s="31" t="s">
        <v>364</v>
      </c>
      <c r="J66" s="32" t="s">
        <v>364</v>
      </c>
      <c r="K66" s="26" t="s">
        <v>364</v>
      </c>
      <c r="L66" s="33" t="s">
        <v>364</v>
      </c>
      <c r="M66" s="34" t="s">
        <v>364</v>
      </c>
      <c r="N66" s="26" t="s">
        <v>364</v>
      </c>
      <c r="O66" s="35" t="s">
        <v>364</v>
      </c>
    </row>
    <row r="67" ht="18" customHeight="1" spans="1:15" x14ac:dyDescent="0.25">
      <c r="A67" s="25" t="s">
        <v>364</v>
      </c>
      <c r="B67" s="26" t="s">
        <v>364</v>
      </c>
      <c r="C67" s="27" t="s">
        <v>364</v>
      </c>
      <c r="D67" s="28" t="str">
        <f>=Dashboard!A76</f>
        <v>TASK-FE-016</v>
      </c>
      <c r="E67" s="26" t="str">
        <f>=Dashboard!C76</f>
        <v>Chatbot UI</v>
      </c>
      <c r="F67" s="29" t="str">
        <f>=Dashboard!D76</f>
        <v>Adithyan N</v>
      </c>
      <c r="G67" s="30" t="s">
        <v>364</v>
      </c>
      <c r="H67" s="26" t="s">
        <v>364</v>
      </c>
      <c r="I67" s="31" t="s">
        <v>364</v>
      </c>
      <c r="J67" s="32" t="s">
        <v>364</v>
      </c>
      <c r="K67" s="26" t="s">
        <v>364</v>
      </c>
      <c r="L67" s="33" t="s">
        <v>364</v>
      </c>
      <c r="M67" s="34" t="s">
        <v>364</v>
      </c>
      <c r="N67" s="26" t="s">
        <v>364</v>
      </c>
      <c r="O67" s="35" t="s">
        <v>364</v>
      </c>
    </row>
    <row r="68" ht="18" customHeight="1" spans="1:15" x14ac:dyDescent="0.25">
      <c r="A68" s="25" t="s">
        <v>364</v>
      </c>
      <c r="B68" s="26" t="s">
        <v>364</v>
      </c>
      <c r="C68" s="27" t="s">
        <v>364</v>
      </c>
      <c r="D68" s="28" t="str">
        <f>=Dashboard!A77</f>
        <v>TASK-FE-017</v>
      </c>
      <c r="E68" s="26" t="str">
        <f>=Dashboard!C77</f>
        <v>Admin Dashboard UI</v>
      </c>
      <c r="F68" s="29" t="str">
        <f>=Dashboard!D77</f>
        <v>Adithyan N</v>
      </c>
      <c r="G68" s="30" t="s">
        <v>364</v>
      </c>
      <c r="H68" s="26" t="s">
        <v>364</v>
      </c>
      <c r="I68" s="31" t="s">
        <v>364</v>
      </c>
      <c r="J68" s="32" t="s">
        <v>364</v>
      </c>
      <c r="K68" s="26" t="s">
        <v>364</v>
      </c>
      <c r="L68" s="33" t="s">
        <v>364</v>
      </c>
      <c r="M68" s="34" t="s">
        <v>364</v>
      </c>
      <c r="N68" s="26" t="s">
        <v>364</v>
      </c>
      <c r="O68" s="35" t="s">
        <v>364</v>
      </c>
    </row>
    <row r="69" ht="18" customHeight="1" spans="1:15" x14ac:dyDescent="0.25">
      <c r="A69" s="25" t="s">
        <v>364</v>
      </c>
      <c r="B69" s="26" t="s">
        <v>364</v>
      </c>
      <c r="C69" s="27" t="s">
        <v>364</v>
      </c>
      <c r="D69" s="28" t="str">
        <f>=Dashboard!A78</f>
        <v>TASK-FE-018</v>
      </c>
      <c r="E69" s="26" t="str">
        <f>=Dashboard!C78</f>
        <v>Notifications UI</v>
      </c>
      <c r="F69" s="29" t="str">
        <f>=Dashboard!D78</f>
        <v>Adithyan N</v>
      </c>
      <c r="G69" s="30" t="s">
        <v>364</v>
      </c>
      <c r="H69" s="26" t="s">
        <v>364</v>
      </c>
      <c r="I69" s="31" t="s">
        <v>364</v>
      </c>
      <c r="J69" s="32" t="s">
        <v>364</v>
      </c>
      <c r="K69" s="26" t="s">
        <v>364</v>
      </c>
      <c r="L69" s="33" t="s">
        <v>364</v>
      </c>
      <c r="M69" s="34" t="s">
        <v>364</v>
      </c>
      <c r="N69" s="26" t="s">
        <v>364</v>
      </c>
      <c r="O69" s="35" t="s">
        <v>364</v>
      </c>
    </row>
    <row r="70" ht="18" customHeight="1" spans="1:15" x14ac:dyDescent="0.25">
      <c r="A70" s="25" t="s">
        <v>364</v>
      </c>
      <c r="B70" s="26" t="s">
        <v>364</v>
      </c>
      <c r="C70" s="27" t="s">
        <v>364</v>
      </c>
      <c r="D70" s="28" t="str">
        <f>=Dashboard!A79</f>
        <v>TASK-FE-019</v>
      </c>
      <c r="E70" s="26" t="str">
        <f>=Dashboard!C79</f>
        <v>Reusable Components</v>
      </c>
      <c r="F70" s="29" t="str">
        <f>=Dashboard!D79</f>
        <v>Adithyan N</v>
      </c>
      <c r="G70" s="30" t="s">
        <v>364</v>
      </c>
      <c r="H70" s="26" t="s">
        <v>364</v>
      </c>
      <c r="I70" s="31" t="s">
        <v>364</v>
      </c>
      <c r="J70" s="32" t="s">
        <v>364</v>
      </c>
      <c r="K70" s="26" t="s">
        <v>364</v>
      </c>
      <c r="L70" s="33" t="s">
        <v>364</v>
      </c>
      <c r="M70" s="34" t="s">
        <v>364</v>
      </c>
      <c r="N70" s="26" t="s">
        <v>364</v>
      </c>
      <c r="O70" s="35" t="s">
        <v>364</v>
      </c>
    </row>
    <row r="71" ht="18" customHeight="1" spans="1:15" x14ac:dyDescent="0.25">
      <c r="A71" s="25" t="s">
        <v>364</v>
      </c>
      <c r="B71" s="26" t="s">
        <v>364</v>
      </c>
      <c r="C71" s="27" t="s">
        <v>364</v>
      </c>
      <c r="D71" s="28" t="str">
        <f>=Dashboard!A80</f>
        <v>TASK-FE-020</v>
      </c>
      <c r="E71" s="26" t="str">
        <f>=Dashboard!C80</f>
        <v>Responsive fixes</v>
      </c>
      <c r="F71" s="29" t="str">
        <f>=Dashboard!D80</f>
        <v>Adithyan N</v>
      </c>
      <c r="G71" s="30" t="s">
        <v>364</v>
      </c>
      <c r="H71" s="26" t="s">
        <v>364</v>
      </c>
      <c r="I71" s="31" t="s">
        <v>364</v>
      </c>
      <c r="J71" s="32" t="s">
        <v>364</v>
      </c>
      <c r="K71" s="26" t="s">
        <v>364</v>
      </c>
      <c r="L71" s="33" t="s">
        <v>364</v>
      </c>
      <c r="M71" s="34" t="s">
        <v>364</v>
      </c>
      <c r="N71" s="26" t="s">
        <v>364</v>
      </c>
      <c r="O71" s="35" t="s">
        <v>364</v>
      </c>
    </row>
    <row r="72" ht="18" customHeight="1" spans="1:15" x14ac:dyDescent="0.25">
      <c r="A72" s="25" t="s">
        <v>364</v>
      </c>
      <c r="B72" s="26" t="s">
        <v>364</v>
      </c>
      <c r="C72" s="27" t="s">
        <v>364</v>
      </c>
      <c r="D72" s="28" t="str">
        <f>=Dashboard!A81</f>
        <v>TASK-FE-021</v>
      </c>
      <c r="E72" s="26" t="str">
        <f>=Dashboard!C81</f>
        <v>Frontend API integration</v>
      </c>
      <c r="F72" s="29" t="str">
        <f>=Dashboard!D81</f>
        <v>Adithyan N</v>
      </c>
      <c r="G72" s="30" t="s">
        <v>364</v>
      </c>
      <c r="H72" s="26" t="s">
        <v>364</v>
      </c>
      <c r="I72" s="31" t="s">
        <v>364</v>
      </c>
      <c r="J72" s="32" t="s">
        <v>364</v>
      </c>
      <c r="K72" s="26" t="s">
        <v>364</v>
      </c>
      <c r="L72" s="33" t="s">
        <v>364</v>
      </c>
      <c r="M72" s="34" t="s">
        <v>364</v>
      </c>
      <c r="N72" s="26" t="s">
        <v>364</v>
      </c>
      <c r="O72" s="35" t="s">
        <v>364</v>
      </c>
    </row>
    <row r="73" ht="18" customHeight="1" spans="1:15" x14ac:dyDescent="0.25">
      <c r="A73" s="25" t="s">
        <v>364</v>
      </c>
      <c r="B73" s="26" t="s">
        <v>364</v>
      </c>
      <c r="C73" s="27" t="s">
        <v>364</v>
      </c>
      <c r="D73" s="28" t="str">
        <f>=Dashboard!A82</f>
        <v>TASK-FE-022</v>
      </c>
      <c r="E73" s="26" t="str">
        <f>=Dashboard!C82</f>
        <v>Error boundaries</v>
      </c>
      <c r="F73" s="29" t="str">
        <f>=Dashboard!D82</f>
        <v>Adithyan N</v>
      </c>
      <c r="G73" s="30" t="s">
        <v>364</v>
      </c>
      <c r="H73" s="26" t="s">
        <v>364</v>
      </c>
      <c r="I73" s="31" t="s">
        <v>364</v>
      </c>
      <c r="J73" s="32" t="s">
        <v>364</v>
      </c>
      <c r="K73" s="26" t="s">
        <v>364</v>
      </c>
      <c r="L73" s="33" t="s">
        <v>364</v>
      </c>
      <c r="M73" s="34" t="s">
        <v>364</v>
      </c>
      <c r="N73" s="26" t="s">
        <v>364</v>
      </c>
      <c r="O73" s="35" t="s">
        <v>364</v>
      </c>
    </row>
    <row r="74" ht="18" customHeight="1" spans="1:15" x14ac:dyDescent="0.25">
      <c r="A74" s="25" t="s">
        <v>364</v>
      </c>
      <c r="B74" s="26" t="s">
        <v>364</v>
      </c>
      <c r="C74" s="27" t="s">
        <v>364</v>
      </c>
      <c r="D74" s="28" t="str">
        <f>=Dashboard!A83</f>
        <v>TASK-FE-023</v>
      </c>
      <c r="E74" s="26" t="str">
        <f>=Dashboard!C83</f>
        <v>Loading components</v>
      </c>
      <c r="F74" s="29" t="str">
        <f>=Dashboard!D83</f>
        <v>Adithyan N</v>
      </c>
      <c r="G74" s="30" t="s">
        <v>364</v>
      </c>
      <c r="H74" s="26" t="s">
        <v>364</v>
      </c>
      <c r="I74" s="31" t="s">
        <v>364</v>
      </c>
      <c r="J74" s="32" t="s">
        <v>364</v>
      </c>
      <c r="K74" s="26" t="s">
        <v>364</v>
      </c>
      <c r="L74" s="33" t="s">
        <v>364</v>
      </c>
      <c r="M74" s="34" t="s">
        <v>364</v>
      </c>
      <c r="N74" s="26" t="s">
        <v>364</v>
      </c>
      <c r="O74" s="35" t="s">
        <v>364</v>
      </c>
    </row>
    <row r="75" ht="18" customHeight="1" spans="1:15" x14ac:dyDescent="0.25">
      <c r="A75" s="25" t="s">
        <v>364</v>
      </c>
      <c r="B75" s="26" t="s">
        <v>364</v>
      </c>
      <c r="C75" s="27" t="s">
        <v>364</v>
      </c>
      <c r="D75" s="28" t="str">
        <f>=Dashboard!A84</f>
        <v>TASK-FE-024</v>
      </c>
      <c r="E75" s="26" t="str">
        <f>=Dashboard!C84</f>
        <v>Final UI testing</v>
      </c>
      <c r="F75" s="29" t="str">
        <f>=Dashboard!D84</f>
        <v>Adithyan N</v>
      </c>
      <c r="G75" s="30" t="s">
        <v>364</v>
      </c>
      <c r="H75" s="26" t="s">
        <v>364</v>
      </c>
      <c r="I75" s="31" t="s">
        <v>364</v>
      </c>
      <c r="J75" s="32" t="s">
        <v>364</v>
      </c>
      <c r="K75" s="26" t="s">
        <v>364</v>
      </c>
      <c r="L75" s="33" t="s">
        <v>364</v>
      </c>
      <c r="M75" s="34" t="s">
        <v>364</v>
      </c>
      <c r="N75" s="26" t="s">
        <v>364</v>
      </c>
      <c r="O75" s="35" t="s">
        <v>364</v>
      </c>
    </row>
    <row r="76" ht="18" customHeight="1" spans="1:15" x14ac:dyDescent="0.25">
      <c r="A76" s="25" t="s">
        <v>364</v>
      </c>
      <c r="B76" s="26" t="s">
        <v>364</v>
      </c>
      <c r="C76" s="27" t="s">
        <v>364</v>
      </c>
      <c r="D76" s="28" t="str">
        <f>=Dashboard!A85</f>
        <v>TASK-AI-001</v>
      </c>
      <c r="E76" s="26" t="str">
        <f>=Dashboard!C85</f>
        <v>Gemini integration</v>
      </c>
      <c r="F76" s="29" t="str">
        <f>=Dashboard!D85</f>
        <v>Muhammed Sadik KT</v>
      </c>
      <c r="G76" s="30" t="s">
        <v>364</v>
      </c>
      <c r="H76" s="26" t="s">
        <v>364</v>
      </c>
      <c r="I76" s="31" t="s">
        <v>364</v>
      </c>
      <c r="J76" s="32" t="s">
        <v>364</v>
      </c>
      <c r="K76" s="26" t="s">
        <v>364</v>
      </c>
      <c r="L76" s="33" t="s">
        <v>364</v>
      </c>
      <c r="M76" s="34" t="s">
        <v>364</v>
      </c>
      <c r="N76" s="26" t="s">
        <v>364</v>
      </c>
      <c r="O76" s="35" t="s">
        <v>364</v>
      </c>
    </row>
    <row r="77" ht="18" customHeight="1" spans="1:15" x14ac:dyDescent="0.25">
      <c r="A77" s="25" t="s">
        <v>364</v>
      </c>
      <c r="B77" s="26" t="s">
        <v>364</v>
      </c>
      <c r="C77" s="27" t="s">
        <v>364</v>
      </c>
      <c r="D77" s="28" t="str">
        <f>=Dashboard!A86</f>
        <v>TASK-AI-002</v>
      </c>
      <c r="E77" s="26" t="str">
        <f>=Dashboard!C86</f>
        <v>Prompt engineering</v>
      </c>
      <c r="F77" s="29" t="str">
        <f>=Dashboard!D86</f>
        <v>Muhammed Sadik KT</v>
      </c>
      <c r="G77" s="30" t="s">
        <v>364</v>
      </c>
      <c r="H77" s="26" t="s">
        <v>364</v>
      </c>
      <c r="I77" s="31" t="s">
        <v>364</v>
      </c>
      <c r="J77" s="32" t="s">
        <v>364</v>
      </c>
      <c r="K77" s="26" t="s">
        <v>364</v>
      </c>
      <c r="L77" s="33" t="s">
        <v>364</v>
      </c>
      <c r="M77" s="34" t="s">
        <v>364</v>
      </c>
      <c r="N77" s="26" t="s">
        <v>364</v>
      </c>
      <c r="O77" s="35" t="s">
        <v>364</v>
      </c>
    </row>
    <row r="78" ht="18" customHeight="1" spans="1:15" x14ac:dyDescent="0.25">
      <c r="A78" s="25" t="s">
        <v>364</v>
      </c>
      <c r="B78" s="26" t="s">
        <v>364</v>
      </c>
      <c r="C78" s="27" t="s">
        <v>364</v>
      </c>
      <c r="D78" s="28" t="str">
        <f>=Dashboard!A87</f>
        <v>TASK-AI-003</v>
      </c>
      <c r="E78" s="26" t="str">
        <f>=Dashboard!C87</f>
        <v>Chatbot API</v>
      </c>
      <c r="F78" s="29" t="str">
        <f>=Dashboard!D87</f>
        <v>Muhammed Sadik KT</v>
      </c>
      <c r="G78" s="30" t="s">
        <v>364</v>
      </c>
      <c r="H78" s="26" t="s">
        <v>364</v>
      </c>
      <c r="I78" s="31" t="s">
        <v>364</v>
      </c>
      <c r="J78" s="32" t="s">
        <v>364</v>
      </c>
      <c r="K78" s="26" t="s">
        <v>364</v>
      </c>
      <c r="L78" s="33" t="s">
        <v>364</v>
      </c>
      <c r="M78" s="34" t="s">
        <v>364</v>
      </c>
      <c r="N78" s="26" t="s">
        <v>364</v>
      </c>
      <c r="O78" s="35" t="s">
        <v>364</v>
      </c>
    </row>
    <row r="79" ht="18" customHeight="1" spans="1:15" x14ac:dyDescent="0.25">
      <c r="A79" s="25" t="s">
        <v>364</v>
      </c>
      <c r="B79" s="26" t="s">
        <v>364</v>
      </c>
      <c r="C79" s="27" t="s">
        <v>364</v>
      </c>
      <c r="D79" s="28" t="str">
        <f>=Dashboard!A88</f>
        <v>TASK-AI-004</v>
      </c>
      <c r="E79" s="26" t="str">
        <f>=Dashboard!C88</f>
        <v>OCR service</v>
      </c>
      <c r="F79" s="29" t="str">
        <f>=Dashboard!D88</f>
        <v>Muhammed Sadik KT</v>
      </c>
      <c r="G79" s="30" t="s">
        <v>364</v>
      </c>
      <c r="H79" s="26" t="s">
        <v>364</v>
      </c>
      <c r="I79" s="31" t="s">
        <v>364</v>
      </c>
      <c r="J79" s="32" t="s">
        <v>364</v>
      </c>
      <c r="K79" s="26" t="s">
        <v>364</v>
      </c>
      <c r="L79" s="33" t="s">
        <v>364</v>
      </c>
      <c r="M79" s="34" t="s">
        <v>364</v>
      </c>
      <c r="N79" s="26" t="s">
        <v>364</v>
      </c>
      <c r="O79" s="35" t="s">
        <v>364</v>
      </c>
    </row>
    <row r="80" ht="18" customHeight="1" spans="1:15" x14ac:dyDescent="0.25">
      <c r="A80" s="25" t="s">
        <v>364</v>
      </c>
      <c r="B80" s="26" t="s">
        <v>364</v>
      </c>
      <c r="C80" s="27" t="s">
        <v>364</v>
      </c>
      <c r="D80" s="28" t="str">
        <f>=Dashboard!A89</f>
        <v>TASK-AI-005</v>
      </c>
      <c r="E80" s="26" t="str">
        <f>=Dashboard!C89</f>
        <v>OCR validation</v>
      </c>
      <c r="F80" s="29" t="str">
        <f>=Dashboard!D89</f>
        <v>Muhammed Sadik KT</v>
      </c>
      <c r="G80" s="30" t="s">
        <v>364</v>
      </c>
      <c r="H80" s="26" t="s">
        <v>364</v>
      </c>
      <c r="I80" s="31" t="s">
        <v>364</v>
      </c>
      <c r="J80" s="32" t="s">
        <v>364</v>
      </c>
      <c r="K80" s="26" t="s">
        <v>364</v>
      </c>
      <c r="L80" s="33" t="s">
        <v>364</v>
      </c>
      <c r="M80" s="34" t="s">
        <v>364</v>
      </c>
      <c r="N80" s="26" t="s">
        <v>364</v>
      </c>
      <c r="O80" s="35" t="s">
        <v>364</v>
      </c>
    </row>
    <row r="81" ht="18" customHeight="1" spans="1:15" x14ac:dyDescent="0.25">
      <c r="A81" s="25" t="s">
        <v>364</v>
      </c>
      <c r="B81" s="26" t="s">
        <v>364</v>
      </c>
      <c r="C81" s="27" t="s">
        <v>364</v>
      </c>
      <c r="D81" s="28" t="str">
        <f>=Dashboard!A90</f>
        <v>TASK-AI-006</v>
      </c>
      <c r="E81" s="26" t="str">
        <f>=Dashboard!C90</f>
        <v>Face recognition core</v>
      </c>
      <c r="F81" s="29" t="str">
        <f>=Dashboard!D90</f>
        <v>Muhammed Sadik KT</v>
      </c>
      <c r="G81" s="30" t="s">
        <v>364</v>
      </c>
      <c r="H81" s="26" t="s">
        <v>364</v>
      </c>
      <c r="I81" s="31" t="s">
        <v>364</v>
      </c>
      <c r="J81" s="32" t="s">
        <v>364</v>
      </c>
      <c r="K81" s="26" t="s">
        <v>364</v>
      </c>
      <c r="L81" s="33" t="s">
        <v>364</v>
      </c>
      <c r="M81" s="34" t="s">
        <v>364</v>
      </c>
      <c r="N81" s="26" t="s">
        <v>364</v>
      </c>
      <c r="O81" s="35" t="s">
        <v>364</v>
      </c>
    </row>
    <row r="82" ht="18" customHeight="1" spans="1:15" x14ac:dyDescent="0.25">
      <c r="A82" s="25" t="s">
        <v>364</v>
      </c>
      <c r="B82" s="26" t="s">
        <v>364</v>
      </c>
      <c r="C82" s="27" t="s">
        <v>364</v>
      </c>
      <c r="D82" s="28" t="str">
        <f>=Dashboard!A91</f>
        <v>TASK-AI-007</v>
      </c>
      <c r="E82" s="26" t="str">
        <f>=Dashboard!C91</f>
        <v>Attendance recognition service</v>
      </c>
      <c r="F82" s="29" t="str">
        <f>=Dashboard!D91</f>
        <v>Muhammed Sadik KT</v>
      </c>
      <c r="G82" s="30" t="s">
        <v>364</v>
      </c>
      <c r="H82" s="26" t="s">
        <v>364</v>
      </c>
      <c r="I82" s="31" t="s">
        <v>364</v>
      </c>
      <c r="J82" s="32" t="s">
        <v>364</v>
      </c>
      <c r="K82" s="26" t="s">
        <v>364</v>
      </c>
      <c r="L82" s="33" t="s">
        <v>364</v>
      </c>
      <c r="M82" s="34" t="s">
        <v>364</v>
      </c>
      <c r="N82" s="26" t="s">
        <v>364</v>
      </c>
      <c r="O82" s="35" t="s">
        <v>364</v>
      </c>
    </row>
    <row r="83" ht="18" customHeight="1" spans="1:15" x14ac:dyDescent="0.25">
      <c r="A83" s="25" t="s">
        <v>364</v>
      </c>
      <c r="B83" s="26" t="s">
        <v>364</v>
      </c>
      <c r="C83" s="27" t="s">
        <v>364</v>
      </c>
      <c r="D83" s="28" t="str">
        <f>=Dashboard!A92</f>
        <v>TASK-AI-008</v>
      </c>
      <c r="E83" s="26" t="str">
        <f>=Dashboard!C92</f>
        <v>AI testing</v>
      </c>
      <c r="F83" s="29" t="str">
        <f>=Dashboard!D92</f>
        <v>Muhammed Sadik KT</v>
      </c>
      <c r="G83" s="30" t="s">
        <v>364</v>
      </c>
      <c r="H83" s="26" t="s">
        <v>364</v>
      </c>
      <c r="I83" s="31" t="s">
        <v>364</v>
      </c>
      <c r="J83" s="32" t="s">
        <v>364</v>
      </c>
      <c r="K83" s="26" t="s">
        <v>364</v>
      </c>
      <c r="L83" s="33" t="s">
        <v>364</v>
      </c>
      <c r="M83" s="34" t="s">
        <v>364</v>
      </c>
      <c r="N83" s="26" t="s">
        <v>364</v>
      </c>
      <c r="O83" s="35" t="s">
        <v>364</v>
      </c>
    </row>
    <row r="84" ht="18" customHeight="1" spans="1:15" x14ac:dyDescent="0.25">
      <c r="A84" s="25" t="s">
        <v>364</v>
      </c>
      <c r="B84" s="26" t="s">
        <v>364</v>
      </c>
      <c r="C84" s="27" t="s">
        <v>364</v>
      </c>
      <c r="D84" s="28" t="str">
        <f>=Dashboard!A93</f>
        <v>TASK-AI-009</v>
      </c>
      <c r="E84" s="26" t="str">
        <f>=Dashboard!C93</f>
        <v>Response optimization</v>
      </c>
      <c r="F84" s="29" t="str">
        <f>=Dashboard!D93</f>
        <v>Muhammed Sadik KT</v>
      </c>
      <c r="G84" s="30" t="s">
        <v>364</v>
      </c>
      <c r="H84" s="26" t="s">
        <v>364</v>
      </c>
      <c r="I84" s="31" t="s">
        <v>364</v>
      </c>
      <c r="J84" s="32" t="s">
        <v>364</v>
      </c>
      <c r="K84" s="26" t="s">
        <v>364</v>
      </c>
      <c r="L84" s="33" t="s">
        <v>364</v>
      </c>
      <c r="M84" s="34" t="s">
        <v>364</v>
      </c>
      <c r="N84" s="26" t="s">
        <v>364</v>
      </c>
      <c r="O84" s="35" t="s">
        <v>364</v>
      </c>
    </row>
    <row r="85" ht="18" customHeight="1" spans="1:15" x14ac:dyDescent="0.25">
      <c r="A85" s="25" t="s">
        <v>364</v>
      </c>
      <c r="B85" s="26" t="s">
        <v>364</v>
      </c>
      <c r="C85" s="27" t="s">
        <v>364</v>
      </c>
      <c r="D85" s="28" t="str">
        <f>=Dashboard!A94</f>
        <v>TASK-FR-001</v>
      </c>
      <c r="E85" s="26" t="str">
        <f>=Dashboard!C94</f>
        <v>Dataset Collection</v>
      </c>
      <c r="F85" s="29" t="str">
        <f>=Dashboard!D94</f>
        <v>Fadi Ahmed</v>
      </c>
      <c r="G85" s="30" t="s">
        <v>364</v>
      </c>
      <c r="H85" s="26" t="s">
        <v>364</v>
      </c>
      <c r="I85" s="31" t="s">
        <v>364</v>
      </c>
      <c r="J85" s="32" t="s">
        <v>364</v>
      </c>
      <c r="K85" s="26" t="s">
        <v>364</v>
      </c>
      <c r="L85" s="33" t="s">
        <v>364</v>
      </c>
      <c r="M85" s="34" t="s">
        <v>364</v>
      </c>
      <c r="N85" s="26" t="s">
        <v>364</v>
      </c>
      <c r="O85" s="35" t="s">
        <v>364</v>
      </c>
    </row>
    <row r="86" ht="18" customHeight="1" spans="1:15" x14ac:dyDescent="0.25">
      <c r="A86" s="25" t="s">
        <v>364</v>
      </c>
      <c r="B86" s="26" t="s">
        <v>364</v>
      </c>
      <c r="C86" s="27" t="s">
        <v>364</v>
      </c>
      <c r="D86" s="28" t="str">
        <f>=Dashboard!A95</f>
        <v>TASK-FR-002</v>
      </c>
      <c r="E86" s="26" t="str">
        <f>=Dashboard!C95</f>
        <v>Prototype Refinement</v>
      </c>
      <c r="F86" s="29" t="str">
        <f>=Dashboard!D95</f>
        <v>Fadi Ahmed</v>
      </c>
      <c r="G86" s="30" t="s">
        <v>364</v>
      </c>
      <c r="H86" s="26" t="s">
        <v>364</v>
      </c>
      <c r="I86" s="31" t="s">
        <v>364</v>
      </c>
      <c r="J86" s="32" t="s">
        <v>364</v>
      </c>
      <c r="K86" s="26" t="s">
        <v>364</v>
      </c>
      <c r="L86" s="33" t="s">
        <v>364</v>
      </c>
      <c r="M86" s="34" t="s">
        <v>364</v>
      </c>
      <c r="N86" s="26" t="s">
        <v>364</v>
      </c>
      <c r="O86" s="35" t="s">
        <v>364</v>
      </c>
    </row>
    <row r="87" ht="18" customHeight="1" spans="1:15" x14ac:dyDescent="0.25">
      <c r="A87" s="25" t="s">
        <v>364</v>
      </c>
      <c r="B87" s="26" t="s">
        <v>364</v>
      </c>
      <c r="C87" s="27" t="s">
        <v>364</v>
      </c>
      <c r="D87" s="28" t="str">
        <f>=Dashboard!A96</f>
        <v>TASK-FR-003</v>
      </c>
      <c r="E87" s="26" t="str">
        <f>=Dashboard!C96</f>
        <v>Camera Integration Testing</v>
      </c>
      <c r="F87" s="29" t="str">
        <f>=Dashboard!D96</f>
        <v>Fadi Ahmed</v>
      </c>
      <c r="G87" s="30" t="s">
        <v>364</v>
      </c>
      <c r="H87" s="26" t="s">
        <v>364</v>
      </c>
      <c r="I87" s="31" t="s">
        <v>364</v>
      </c>
      <c r="J87" s="32" t="s">
        <v>364</v>
      </c>
      <c r="K87" s="26" t="s">
        <v>364</v>
      </c>
      <c r="L87" s="33" t="s">
        <v>364</v>
      </c>
      <c r="M87" s="34" t="s">
        <v>364</v>
      </c>
      <c r="N87" s="26" t="s">
        <v>364</v>
      </c>
      <c r="O87" s="35" t="s">
        <v>364</v>
      </c>
    </row>
    <row r="88" ht="18" customHeight="1" spans="1:15" x14ac:dyDescent="0.25">
      <c r="A88" s="25" t="s">
        <v>364</v>
      </c>
      <c r="B88" s="26" t="s">
        <v>364</v>
      </c>
      <c r="C88" s="27" t="s">
        <v>364</v>
      </c>
      <c r="D88" s="28" t="str">
        <f>=Dashboard!A97</f>
        <v>TASK-FR-004</v>
      </c>
      <c r="E88" s="26" t="str">
        <f>=Dashboard!C97</f>
        <v>Attendance Workflow Testing</v>
      </c>
      <c r="F88" s="29" t="str">
        <f>=Dashboard!D97</f>
        <v>Fadi Ahmed</v>
      </c>
      <c r="G88" s="30" t="s">
        <v>364</v>
      </c>
      <c r="H88" s="26" t="s">
        <v>364</v>
      </c>
      <c r="I88" s="31" t="s">
        <v>364</v>
      </c>
      <c r="J88" s="32" t="s">
        <v>364</v>
      </c>
      <c r="K88" s="26" t="s">
        <v>364</v>
      </c>
      <c r="L88" s="33" t="s">
        <v>364</v>
      </c>
      <c r="M88" s="34" t="s">
        <v>364</v>
      </c>
      <c r="N88" s="26" t="s">
        <v>364</v>
      </c>
      <c r="O88" s="35" t="s">
        <v>364</v>
      </c>
    </row>
    <row r="89" ht="18" customHeight="1" spans="1:15" x14ac:dyDescent="0.25">
      <c r="A89" s="25" t="s">
        <v>364</v>
      </c>
      <c r="B89" s="26" t="s">
        <v>364</v>
      </c>
      <c r="C89" s="27" t="s">
        <v>364</v>
      </c>
      <c r="D89" s="28" t="str">
        <f>=Dashboard!A98</f>
        <v>TASK-FR-005</v>
      </c>
      <c r="E89" s="26" t="str">
        <f>=Dashboard!C98</f>
        <v>Recognition Accuracy Testing</v>
      </c>
      <c r="F89" s="29" t="str">
        <f>=Dashboard!D98</f>
        <v>Fadi Ahmed</v>
      </c>
      <c r="G89" s="30" t="s">
        <v>364</v>
      </c>
      <c r="H89" s="26" t="s">
        <v>364</v>
      </c>
      <c r="I89" s="31" t="s">
        <v>364</v>
      </c>
      <c r="J89" s="32" t="s">
        <v>364</v>
      </c>
      <c r="K89" s="26" t="s">
        <v>364</v>
      </c>
      <c r="L89" s="33" t="s">
        <v>364</v>
      </c>
      <c r="M89" s="34" t="s">
        <v>364</v>
      </c>
      <c r="N89" s="26" t="s">
        <v>364</v>
      </c>
      <c r="O89" s="35" t="s">
        <v>364</v>
      </c>
    </row>
    <row r="90" ht="18" customHeight="1" spans="1:15" x14ac:dyDescent="0.25">
      <c r="A90" s="25" t="s">
        <v>364</v>
      </c>
      <c r="B90" s="26" t="s">
        <v>364</v>
      </c>
      <c r="C90" s="27" t="s">
        <v>364</v>
      </c>
      <c r="D90" s="28" t="str">
        <f>=Dashboard!A99</f>
        <v>TASK-FR-006</v>
      </c>
      <c r="E90" s="26" t="str">
        <f>=Dashboard!C99</f>
        <v>Cross-Browser Camera Testing</v>
      </c>
      <c r="F90" s="29" t="str">
        <f>=Dashboard!D99</f>
        <v>Fadi Ahmed</v>
      </c>
      <c r="G90" s="30" t="s">
        <v>364</v>
      </c>
      <c r="H90" s="26" t="s">
        <v>364</v>
      </c>
      <c r="I90" s="31" t="s">
        <v>364</v>
      </c>
      <c r="J90" s="32" t="s">
        <v>364</v>
      </c>
      <c r="K90" s="26" t="s">
        <v>364</v>
      </c>
      <c r="L90" s="33" t="s">
        <v>364</v>
      </c>
      <c r="M90" s="34" t="s">
        <v>364</v>
      </c>
      <c r="N90" s="26" t="s">
        <v>364</v>
      </c>
      <c r="O90" s="35" t="s">
        <v>364</v>
      </c>
    </row>
    <row r="91" ht="18" customHeight="1" spans="1:15" x14ac:dyDescent="0.25">
      <c r="A91" s="25" t="s">
        <v>364</v>
      </c>
      <c r="B91" s="26" t="s">
        <v>364</v>
      </c>
      <c r="C91" s="27" t="s">
        <v>364</v>
      </c>
      <c r="D91" s="28" t="str">
        <f>=Dashboard!A100</f>
        <v>TASK-FR-007</v>
      </c>
      <c r="E91" s="26" t="str">
        <f>=Dashboard!C100</f>
        <v>Scanner UI Review</v>
      </c>
      <c r="F91" s="29" t="str">
        <f>=Dashboard!D100</f>
        <v>Fadi Ahmed</v>
      </c>
      <c r="G91" s="30" t="s">
        <v>364</v>
      </c>
      <c r="H91" s="26" t="s">
        <v>364</v>
      </c>
      <c r="I91" s="31" t="s">
        <v>364</v>
      </c>
      <c r="J91" s="32" t="s">
        <v>364</v>
      </c>
      <c r="K91" s="26" t="s">
        <v>364</v>
      </c>
      <c r="L91" s="33" t="s">
        <v>364</v>
      </c>
      <c r="M91" s="34" t="s">
        <v>364</v>
      </c>
      <c r="N91" s="26" t="s">
        <v>364</v>
      </c>
      <c r="O91" s="35" t="s">
        <v>364</v>
      </c>
    </row>
    <row r="92" ht="18" customHeight="1" spans="1:15" x14ac:dyDescent="0.25">
      <c r="A92" s="25" t="s">
        <v>364</v>
      </c>
      <c r="B92" s="26" t="s">
        <v>364</v>
      </c>
      <c r="C92" s="27" t="s">
        <v>364</v>
      </c>
      <c r="D92" s="28" t="str">
        <f>=Dashboard!A101</f>
        <v>TASK-FR-008</v>
      </c>
      <c r="E92" s="26" t="str">
        <f>=Dashboard!C101</f>
        <v>System Integration Testing</v>
      </c>
      <c r="F92" s="29" t="str">
        <f>=Dashboard!D101</f>
        <v>Fadi Ahmed</v>
      </c>
      <c r="G92" s="30" t="s">
        <v>364</v>
      </c>
      <c r="H92" s="26" t="s">
        <v>364</v>
      </c>
      <c r="I92" s="31" t="s">
        <v>364</v>
      </c>
      <c r="J92" s="32" t="s">
        <v>364</v>
      </c>
      <c r="K92" s="26" t="s">
        <v>364</v>
      </c>
      <c r="L92" s="33" t="s">
        <v>364</v>
      </c>
      <c r="M92" s="34" t="s">
        <v>364</v>
      </c>
      <c r="N92" s="26" t="s">
        <v>364</v>
      </c>
      <c r="O92" s="35" t="s">
        <v>364</v>
      </c>
    </row>
    <row r="93" ht="18" customHeight="1" spans="1:15" x14ac:dyDescent="0.25">
      <c r="A93" s="25" t="s">
        <v>364</v>
      </c>
      <c r="B93" s="26" t="s">
        <v>364</v>
      </c>
      <c r="C93" s="27" t="s">
        <v>364</v>
      </c>
      <c r="D93" s="28" t="str">
        <f>=Dashboard!A102</f>
        <v>TASK-FR-009</v>
      </c>
      <c r="E93" s="26" t="str">
        <f>=Dashboard!C102</f>
        <v>Camera Permission Testing</v>
      </c>
      <c r="F93" s="29" t="str">
        <f>=Dashboard!D102</f>
        <v>Fadi Ahmed</v>
      </c>
      <c r="G93" s="30" t="s">
        <v>364</v>
      </c>
      <c r="H93" s="26" t="s">
        <v>364</v>
      </c>
      <c r="I93" s="31" t="s">
        <v>364</v>
      </c>
      <c r="J93" s="32" t="s">
        <v>364</v>
      </c>
      <c r="K93" s="26" t="s">
        <v>364</v>
      </c>
      <c r="L93" s="33" t="s">
        <v>364</v>
      </c>
      <c r="M93" s="34" t="s">
        <v>364</v>
      </c>
      <c r="N93" s="26" t="s">
        <v>364</v>
      </c>
      <c r="O93" s="35" t="s">
        <v>364</v>
      </c>
    </row>
    <row r="94" ht="18" customHeight="1" spans="1:15" x14ac:dyDescent="0.25">
      <c r="A94" s="25" t="s">
        <v>364</v>
      </c>
      <c r="B94" s="26" t="s">
        <v>364</v>
      </c>
      <c r="C94" s="27" t="s">
        <v>364</v>
      </c>
      <c r="D94" s="28" t="str">
        <f>=Dashboard!A103</f>
        <v>TASK-QA-001</v>
      </c>
      <c r="E94" s="26" t="str">
        <f>=Dashboard!C103</f>
        <v>Requirement traceability</v>
      </c>
      <c r="F94" s="29" t="str">
        <f>=Dashboard!D103</f>
        <v>Minha Palakkathodi</v>
      </c>
      <c r="G94" s="30" t="s">
        <v>364</v>
      </c>
      <c r="H94" s="26" t="s">
        <v>364</v>
      </c>
      <c r="I94" s="31" t="s">
        <v>364</v>
      </c>
      <c r="J94" s="32" t="s">
        <v>364</v>
      </c>
      <c r="K94" s="26" t="s">
        <v>364</v>
      </c>
      <c r="L94" s="33" t="s">
        <v>364</v>
      </c>
      <c r="M94" s="34" t="s">
        <v>364</v>
      </c>
      <c r="N94" s="26" t="s">
        <v>364</v>
      </c>
      <c r="O94" s="35" t="s">
        <v>364</v>
      </c>
    </row>
    <row r="95" ht="18" customHeight="1" spans="1:15" x14ac:dyDescent="0.25">
      <c r="A95" s="25" t="s">
        <v>364</v>
      </c>
      <c r="B95" s="26" t="s">
        <v>364</v>
      </c>
      <c r="C95" s="27" t="s">
        <v>364</v>
      </c>
      <c r="D95" s="28" t="str">
        <f>=Dashboard!A104</f>
        <v>TASK-QA-002</v>
      </c>
      <c r="E95" s="26" t="str">
        <f>=Dashboard!C104</f>
        <v>Test case creation</v>
      </c>
      <c r="F95" s="29" t="str">
        <f>=Dashboard!D104</f>
        <v>Minha Palakkathodi</v>
      </c>
      <c r="G95" s="30" t="s">
        <v>364</v>
      </c>
      <c r="H95" s="26" t="s">
        <v>364</v>
      </c>
      <c r="I95" s="31" t="s">
        <v>364</v>
      </c>
      <c r="J95" s="32" t="s">
        <v>364</v>
      </c>
      <c r="K95" s="26" t="s">
        <v>364</v>
      </c>
      <c r="L95" s="33" t="s">
        <v>364</v>
      </c>
      <c r="M95" s="34" t="s">
        <v>364</v>
      </c>
      <c r="N95" s="26" t="s">
        <v>364</v>
      </c>
      <c r="O95" s="35" t="s">
        <v>364</v>
      </c>
    </row>
    <row r="96" ht="18" customHeight="1" spans="1:15" x14ac:dyDescent="0.25">
      <c r="A96" s="25" t="s">
        <v>364</v>
      </c>
      <c r="B96" s="26" t="s">
        <v>364</v>
      </c>
      <c r="C96" s="27" t="s">
        <v>364</v>
      </c>
      <c r="D96" s="28" t="str">
        <f>=Dashboard!A105</f>
        <v>TASK-QA-003</v>
      </c>
      <c r="E96" s="26" t="str">
        <f>=Dashboard!C105</f>
        <v>UAT preparation</v>
      </c>
      <c r="F96" s="29" t="str">
        <f>=Dashboard!D105</f>
        <v>Minha Palakkathodi</v>
      </c>
      <c r="G96" s="30" t="s">
        <v>364</v>
      </c>
      <c r="H96" s="26" t="s">
        <v>364</v>
      </c>
      <c r="I96" s="31" t="s">
        <v>364</v>
      </c>
      <c r="J96" s="32" t="s">
        <v>364</v>
      </c>
      <c r="K96" s="26" t="s">
        <v>364</v>
      </c>
      <c r="L96" s="33" t="s">
        <v>364</v>
      </c>
      <c r="M96" s="34" t="s">
        <v>364</v>
      </c>
      <c r="N96" s="26" t="s">
        <v>364</v>
      </c>
      <c r="O96" s="35" t="s">
        <v>364</v>
      </c>
    </row>
    <row r="97" ht="18" customHeight="1" spans="1:15" x14ac:dyDescent="0.25">
      <c r="A97" s="25" t="s">
        <v>364</v>
      </c>
      <c r="B97" s="26" t="s">
        <v>364</v>
      </c>
      <c r="C97" s="27" t="s">
        <v>364</v>
      </c>
      <c r="D97" s="28" t="str">
        <f>=Dashboard!A106</f>
        <v>TASK-QA-004</v>
      </c>
      <c r="E97" s="26" t="str">
        <f>=Dashboard!C106</f>
        <v>Documentation review</v>
      </c>
      <c r="F97" s="29" t="str">
        <f>=Dashboard!D106</f>
        <v>Minha Palakkathodi</v>
      </c>
      <c r="G97" s="30" t="s">
        <v>364</v>
      </c>
      <c r="H97" s="26" t="s">
        <v>364</v>
      </c>
      <c r="I97" s="31" t="s">
        <v>364</v>
      </c>
      <c r="J97" s="32" t="s">
        <v>364</v>
      </c>
      <c r="K97" s="26" t="s">
        <v>364</v>
      </c>
      <c r="L97" s="33" t="s">
        <v>364</v>
      </c>
      <c r="M97" s="34" t="s">
        <v>364</v>
      </c>
      <c r="N97" s="26" t="s">
        <v>364</v>
      </c>
      <c r="O97" s="35" t="s">
        <v>364</v>
      </c>
    </row>
    <row r="98" ht="18" customHeight="1" spans="1:15" x14ac:dyDescent="0.25">
      <c r="A98" s="25" t="s">
        <v>364</v>
      </c>
      <c r="B98" s="26" t="s">
        <v>364</v>
      </c>
      <c r="C98" s="27" t="s">
        <v>364</v>
      </c>
      <c r="D98" s="28" t="str">
        <f>=Dashboard!A107</f>
        <v>TASK-QA-005</v>
      </c>
      <c r="E98" s="26" t="str">
        <f>=Dashboard!C107</f>
        <v>Security checklist review</v>
      </c>
      <c r="F98" s="29" t="str">
        <f>=Dashboard!D107</f>
        <v>Minha Palakkathodi</v>
      </c>
      <c r="G98" s="30" t="s">
        <v>364</v>
      </c>
      <c r="H98" s="26" t="s">
        <v>364</v>
      </c>
      <c r="I98" s="31" t="s">
        <v>364</v>
      </c>
      <c r="J98" s="32" t="s">
        <v>364</v>
      </c>
      <c r="K98" s="26" t="s">
        <v>364</v>
      </c>
      <c r="L98" s="33" t="s">
        <v>364</v>
      </c>
      <c r="M98" s="34" t="s">
        <v>364</v>
      </c>
      <c r="N98" s="26" t="s">
        <v>364</v>
      </c>
      <c r="O98" s="35" t="s">
        <v>364</v>
      </c>
    </row>
    <row r="99" ht="18" customHeight="1" spans="1:15" x14ac:dyDescent="0.25">
      <c r="A99" s="25" t="s">
        <v>364</v>
      </c>
      <c r="B99" s="26" t="s">
        <v>364</v>
      </c>
      <c r="C99" s="27" t="s">
        <v>364</v>
      </c>
      <c r="D99" s="28" t="str">
        <f>=Dashboard!A108</f>
        <v>TASK-QA-006</v>
      </c>
      <c r="E99" s="26" t="str">
        <f>=Dashboard!C108</f>
        <v>QA reports</v>
      </c>
      <c r="F99" s="29" t="str">
        <f>=Dashboard!D108</f>
        <v>Minha Palakkathodi</v>
      </c>
      <c r="G99" s="30" t="s">
        <v>364</v>
      </c>
      <c r="H99" s="26" t="s">
        <v>364</v>
      </c>
      <c r="I99" s="31" t="s">
        <v>364</v>
      </c>
      <c r="J99" s="32" t="s">
        <v>364</v>
      </c>
      <c r="K99" s="26" t="s">
        <v>364</v>
      </c>
      <c r="L99" s="33" t="s">
        <v>364</v>
      </c>
      <c r="M99" s="34" t="s">
        <v>364</v>
      </c>
      <c r="N99" s="26" t="s">
        <v>364</v>
      </c>
      <c r="O99" s="35" t="s">
        <v>364</v>
      </c>
    </row>
    <row r="100" ht="18" customHeight="1" spans="1:15" x14ac:dyDescent="0.25">
      <c r="A100" s="25" t="s">
        <v>364</v>
      </c>
      <c r="B100" s="26" t="s">
        <v>364</v>
      </c>
      <c r="C100" s="27" t="s">
        <v>364</v>
      </c>
      <c r="D100" s="28" t="str">
        <f>=Dashboard!A109</f>
        <v>TASK-QA-007</v>
      </c>
      <c r="E100" s="26" t="str">
        <f>=Dashboard!C109</f>
        <v>Bug verification</v>
      </c>
      <c r="F100" s="29" t="str">
        <f>=Dashboard!D109</f>
        <v>Minha Palakkathodi</v>
      </c>
      <c r="G100" s="30" t="s">
        <v>364</v>
      </c>
      <c r="H100" s="26" t="s">
        <v>364</v>
      </c>
      <c r="I100" s="31" t="s">
        <v>364</v>
      </c>
      <c r="J100" s="32" t="s">
        <v>364</v>
      </c>
      <c r="K100" s="26" t="s">
        <v>364</v>
      </c>
      <c r="L100" s="33" t="s">
        <v>364</v>
      </c>
      <c r="M100" s="34" t="s">
        <v>364</v>
      </c>
      <c r="N100" s="26" t="s">
        <v>364</v>
      </c>
      <c r="O100" s="35" t="s">
        <v>364</v>
      </c>
    </row>
    <row r="101" ht="18" customHeight="1" spans="1:15" x14ac:dyDescent="0.25">
      <c r="A101" s="25" t="s">
        <v>364</v>
      </c>
      <c r="B101" s="26" t="s">
        <v>364</v>
      </c>
      <c r="C101" s="27" t="s">
        <v>364</v>
      </c>
      <c r="D101" s="28" t="str">
        <f>=Dashboard!A110</f>
        <v>TASK-QA-008</v>
      </c>
      <c r="E101" s="26" t="str">
        <f>=Dashboard!C110</f>
        <v>Final documentation</v>
      </c>
      <c r="F101" s="29" t="str">
        <f>=Dashboard!D110</f>
        <v>Minha Palakkathodi</v>
      </c>
      <c r="G101" s="30" t="s">
        <v>364</v>
      </c>
      <c r="H101" s="26" t="s">
        <v>364</v>
      </c>
      <c r="I101" s="31" t="s">
        <v>364</v>
      </c>
      <c r="J101" s="32" t="s">
        <v>364</v>
      </c>
      <c r="K101" s="26" t="s">
        <v>364</v>
      </c>
      <c r="L101" s="33" t="s">
        <v>364</v>
      </c>
      <c r="M101" s="34" t="s">
        <v>364</v>
      </c>
      <c r="N101" s="26" t="s">
        <v>364</v>
      </c>
      <c r="O101" s="35" t="s">
        <v>364</v>
      </c>
    </row>
    <row r="102" ht="18" customHeight="1" spans="1:15" x14ac:dyDescent="0.25">
      <c r="A102" s="25" t="s">
        <v>364</v>
      </c>
      <c r="B102" s="26" t="s">
        <v>364</v>
      </c>
      <c r="C102" s="27" t="s">
        <v>364</v>
      </c>
      <c r="D102" s="28" t="str">
        <f>=Dashboard!A111</f>
        <v>TASK-QA-009</v>
      </c>
      <c r="E102" s="26" t="str">
        <f>=Dashboard!C111</f>
        <v>Handover documentation</v>
      </c>
      <c r="F102" s="29" t="str">
        <f>=Dashboard!D111</f>
        <v>Minha Palakkathodi</v>
      </c>
      <c r="G102" s="30" t="s">
        <v>364</v>
      </c>
      <c r="H102" s="26" t="s">
        <v>364</v>
      </c>
      <c r="I102" s="31" t="s">
        <v>364</v>
      </c>
      <c r="J102" s="32" t="s">
        <v>364</v>
      </c>
      <c r="K102" s="26" t="s">
        <v>364</v>
      </c>
      <c r="L102" s="33" t="s">
        <v>364</v>
      </c>
      <c r="M102" s="34" t="s">
        <v>364</v>
      </c>
      <c r="N102" s="26" t="s">
        <v>364</v>
      </c>
      <c r="O102" s="35" t="s">
        <v>364</v>
      </c>
    </row>
    <row r="103" ht="18" customHeight="1" spans="1:15" x14ac:dyDescent="0.25">
      <c r="A103" s="25" t="s">
        <v>364</v>
      </c>
      <c r="B103" s="26" t="s">
        <v>364</v>
      </c>
      <c r="C103" s="27" t="s">
        <v>364</v>
      </c>
      <c r="D103" s="28" t="s">
        <v>364</v>
      </c>
      <c r="E103" s="26" t="s">
        <v>364</v>
      </c>
      <c r="F103" s="29" t="s">
        <v>364</v>
      </c>
      <c r="G103" s="30" t="s">
        <v>364</v>
      </c>
      <c r="H103" s="26" t="s">
        <v>364</v>
      </c>
      <c r="I103" s="31" t="s">
        <v>364</v>
      </c>
      <c r="J103" s="32" t="s">
        <v>364</v>
      </c>
      <c r="K103" s="26" t="s">
        <v>364</v>
      </c>
      <c r="L103" s="33" t="s">
        <v>364</v>
      </c>
      <c r="M103" s="34" t="s">
        <v>364</v>
      </c>
      <c r="N103" s="26" t="s">
        <v>364</v>
      </c>
      <c r="O103" s="35" t="s">
        <v>364</v>
      </c>
    </row>
  </sheetData>
  <mergeCells count="6">
    <mergeCell ref="A1:O1"/>
    <mergeCell ref="A5:C5"/>
    <mergeCell ref="D5:F5"/>
    <mergeCell ref="G5:I5"/>
    <mergeCell ref="J5:L5"/>
    <mergeCell ref="M5:O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365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43</v>
      </c>
      <c r="B2" s="12" t="s">
        <v>45</v>
      </c>
      <c r="C2" s="12" t="s">
        <v>46</v>
      </c>
      <c r="D2" s="12" t="s">
        <v>47</v>
      </c>
      <c r="E2" s="12" t="s">
        <v>51</v>
      </c>
      <c r="F2" s="12" t="s">
        <v>48</v>
      </c>
      <c r="G2" s="12" t="s">
        <v>366</v>
      </c>
      <c r="H2" s="12" t="s">
        <v>367</v>
      </c>
      <c r="I2" s="12" t="s">
        <v>368</v>
      </c>
      <c r="J2" s="12" t="s">
        <v>54</v>
      </c>
    </row>
    <row r="3" spans="1:10" x14ac:dyDescent="0.25">
      <c r="A3" s="13" t="str">
        <f>=Dashboard!A16</f>
        <v>TASK-INF-001</v>
      </c>
      <c r="B3" s="6" t="str">
        <f>=Dashboard!C16</f>
        <v>Repository verification</v>
      </c>
      <c r="C3" s="6" t="str">
        <f>=Dashboard!D16</f>
        <v>Adithyan N + Muhammad Sanish</v>
      </c>
      <c r="D3" s="13" t="str">
        <f>=Dashboard!E16</f>
        <v>High</v>
      </c>
      <c r="E3" s="13" t="str">
        <f>=Dashboard!I16</f>
        <v>None</v>
      </c>
      <c r="F3" s="13" t="str">
        <f>=Dashboard!F16</f>
        <v>Not Started</v>
      </c>
      <c r="G3" s="6" t="s">
        <v>369</v>
      </c>
      <c r="H3" s="13" t="s">
        <v>106</v>
      </c>
      <c r="I3" s="13" t="s">
        <v>64</v>
      </c>
      <c r="J3" s="6" t="str">
        <f>=Dashboard!L16</f>
        <v>Check configuration files integrity</v>
      </c>
    </row>
    <row r="4" spans="1:10" x14ac:dyDescent="0.25">
      <c r="A4" s="15" t="str">
        <f>=Dashboard!A17</f>
        <v>TASK-INF-002</v>
      </c>
      <c r="B4" s="9" t="str">
        <f>=Dashboard!C17</f>
        <v>Git workflow setup</v>
      </c>
      <c r="C4" s="9" t="str">
        <f>=Dashboard!D17</f>
        <v>Adithyan N</v>
      </c>
      <c r="D4" s="15" t="str">
        <f>=Dashboard!E17</f>
        <v>High</v>
      </c>
      <c r="E4" s="15" t="str">
        <f>=Dashboard!I17</f>
        <v>None</v>
      </c>
      <c r="F4" s="15" t="str">
        <f>=Dashboard!F17</f>
        <v>Not Started</v>
      </c>
      <c r="G4" s="9" t="s">
        <v>370</v>
      </c>
      <c r="H4" s="15" t="s">
        <v>64</v>
      </c>
      <c r="I4" s="15" t="s">
        <v>64</v>
      </c>
      <c r="J4" s="9" t="str">
        <f>=Dashboard!L17</f>
        <v>Main/develop/feature branching rules</v>
      </c>
    </row>
    <row r="5" spans="1:10" x14ac:dyDescent="0.25">
      <c r="A5" s="13" t="str">
        <f>=Dashboard!A18</f>
        <v>TASK-INF-003</v>
      </c>
      <c r="B5" s="6" t="str">
        <f>=Dashboard!C18</f>
        <v>Branch setup</v>
      </c>
      <c r="C5" s="6" t="str">
        <f>=Dashboard!D18</f>
        <v>Adithyan N</v>
      </c>
      <c r="D5" s="13" t="str">
        <f>=Dashboard!E18</f>
        <v>High</v>
      </c>
      <c r="E5" s="13" t="str">
        <f>=Dashboard!I18</f>
        <v>TASK-INF-002</v>
      </c>
      <c r="F5" s="13" t="str">
        <f>=Dashboard!F18</f>
        <v>Not Started</v>
      </c>
      <c r="G5" s="6" t="s">
        <v>371</v>
      </c>
      <c r="H5" s="13" t="s">
        <v>64</v>
      </c>
      <c r="I5" s="13" t="s">
        <v>64</v>
      </c>
      <c r="J5" s="6" t="str">
        <f>=Dashboard!L18</f>
        <v>Initial pull request guidelines set</v>
      </c>
    </row>
    <row r="6" spans="1:10" x14ac:dyDescent="0.25">
      <c r="A6" s="15" t="str">
        <f>=Dashboard!A19</f>
        <v>TASK-INF-004</v>
      </c>
      <c r="B6" s="9" t="str">
        <f>=Dashboard!C19</f>
        <v>MongoDB Atlas setup</v>
      </c>
      <c r="C6" s="9" t="str">
        <f>=Dashboard!D19</f>
        <v>Adithyan N</v>
      </c>
      <c r="D6" s="15" t="str">
        <f>=Dashboard!E19</f>
        <v>Critical</v>
      </c>
      <c r="E6" s="15" t="str">
        <f>=Dashboard!I19</f>
        <v>None</v>
      </c>
      <c r="F6" s="15" t="str">
        <f>=Dashboard!F19</f>
        <v>Not Started</v>
      </c>
      <c r="G6" s="9" t="s">
        <v>372</v>
      </c>
      <c r="H6" s="15" t="s">
        <v>106</v>
      </c>
      <c r="I6" s="15" t="s">
        <v>106</v>
      </c>
      <c r="J6" s="9" t="str">
        <f>=Dashboard!L19</f>
        <v>IP whitelist rules configured</v>
      </c>
    </row>
    <row r="7" spans="1:10" x14ac:dyDescent="0.25">
      <c r="A7" s="13" t="str">
        <f>=Dashboard!A20</f>
        <v>TASK-INF-005</v>
      </c>
      <c r="B7" s="6" t="str">
        <f>=Dashboard!C20</f>
        <v>Environment variables</v>
      </c>
      <c r="C7" s="6" t="str">
        <f>=Dashboard!D20</f>
        <v>Muhammad Sanish</v>
      </c>
      <c r="D7" s="13" t="str">
        <f>=Dashboard!E20</f>
        <v>High</v>
      </c>
      <c r="E7" s="13" t="str">
        <f>=Dashboard!I20</f>
        <v>None</v>
      </c>
      <c r="F7" s="13" t="str">
        <f>=Dashboard!F20</f>
        <v>Not Started</v>
      </c>
      <c r="G7" s="6" t="s">
        <v>373</v>
      </c>
      <c r="H7" s="13" t="s">
        <v>106</v>
      </c>
      <c r="I7" s="13" t="s">
        <v>106</v>
      </c>
      <c r="J7" s="6" t="str">
        <f>=Dashboard!L20</f>
        <v>No secrets checked in</v>
      </c>
    </row>
    <row r="8" spans="1:10" x14ac:dyDescent="0.25">
      <c r="A8" s="15" t="str">
        <f>=Dashboard!A21</f>
        <v>TASK-INF-006</v>
      </c>
      <c r="B8" s="9" t="str">
        <f>=Dashboard!C21</f>
        <v>ESLint</v>
      </c>
      <c r="C8" s="9" t="str">
        <f>=Dashboard!D21</f>
        <v>Adithyan N</v>
      </c>
      <c r="D8" s="15" t="str">
        <f>=Dashboard!E21</f>
        <v>Medium</v>
      </c>
      <c r="E8" s="15" t="str">
        <f>=Dashboard!I21</f>
        <v>None</v>
      </c>
      <c r="F8" s="15" t="str">
        <f>=Dashboard!F21</f>
        <v>Not Started</v>
      </c>
      <c r="G8" s="9" t="s">
        <v>374</v>
      </c>
      <c r="H8" s="15" t="s">
        <v>106</v>
      </c>
      <c r="I8" s="15" t="s">
        <v>64</v>
      </c>
      <c r="J8" s="9" t="str">
        <f>=Dashboard!L21</f>
        <v>Static code styling checks active</v>
      </c>
    </row>
    <row r="9" spans="1:10" x14ac:dyDescent="0.25">
      <c r="A9" s="13" t="str">
        <f>=Dashboard!A22</f>
        <v>TASK-INF-007</v>
      </c>
      <c r="B9" s="6" t="str">
        <f>=Dashboard!C22</f>
        <v>Prettier</v>
      </c>
      <c r="C9" s="6" t="str">
        <f>=Dashboard!D22</f>
        <v>Adithyan N</v>
      </c>
      <c r="D9" s="13" t="str">
        <f>=Dashboard!E22</f>
        <v>Medium</v>
      </c>
      <c r="E9" s="13" t="str">
        <f>=Dashboard!I22</f>
        <v>None</v>
      </c>
      <c r="F9" s="13" t="str">
        <f>=Dashboard!F22</f>
        <v>Not Started</v>
      </c>
      <c r="G9" s="6" t="s">
        <v>375</v>
      </c>
      <c r="H9" s="13" t="s">
        <v>106</v>
      </c>
      <c r="I9" s="13" t="s">
        <v>64</v>
      </c>
      <c r="J9" s="6" t="str">
        <f>=Dashboard!L22</f>
        <v>Auto format on save verified</v>
      </c>
    </row>
  </sheetData>
  <autoFilter ref="A2:J9"/>
  <mergeCells count="1">
    <mergeCell ref="A1:J1"/>
  </mergeCells>
  <conditionalFormatting sqref="F3:F9">
    <cfRule type="cellIs" dxfId="9" priority="1" operator="equal">
      <formula>"Completed"</formula>
    </cfRule>
    <cfRule type="cellIs" dxfId="10" priority="2" operator="equal">
      <formula>"In Progress"</formula>
    </cfRule>
    <cfRule type="cellIs" dxfId="11" priority="3" operator="equal">
      <formula>"Review"</formula>
    </cfRule>
    <cfRule type="cellIs" dxfId="12" priority="4" operator="equal">
      <formula>"Blocked"</formula>
    </cfRule>
    <cfRule type="cellIs" dxfId="13" priority="5" operator="equal">
      <formula>"Not Started"</formula>
    </cfRule>
  </conditionalFormatting>
  <conditionalFormatting sqref="D3:D9">
    <cfRule type="cellIs" dxfId="14" priority="6" operator="equal">
      <formula>"Critical"</formula>
    </cfRule>
    <cfRule type="cellIs" dxfId="15" priority="7" operator="equal">
      <formula>"High"</formula>
    </cfRule>
    <cfRule type="cellIs" dxfId="16" priority="8" operator="equal">
      <formula>"Medium"</formula>
    </cfRule>
    <cfRule type="cellIs" dxfId="17" priority="9" operator="equal">
      <formula>"Low"</formula>
    </cfRule>
  </conditionalFormatting>
  <dataValidations count="2">
    <dataValidation type="list" allowBlank="1" sqref="D3:D9">
      <formula1>"Critical,High,Medium,Low"</formula1>
    </dataValidation>
    <dataValidation type="list" allowBlank="1" sqref="F3:F9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376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43</v>
      </c>
      <c r="B2" s="12" t="s">
        <v>45</v>
      </c>
      <c r="C2" s="12" t="s">
        <v>46</v>
      </c>
      <c r="D2" s="12" t="s">
        <v>47</v>
      </c>
      <c r="E2" s="12" t="s">
        <v>51</v>
      </c>
      <c r="F2" s="12" t="s">
        <v>48</v>
      </c>
      <c r="G2" s="12" t="s">
        <v>366</v>
      </c>
      <c r="H2" s="12" t="s">
        <v>367</v>
      </c>
      <c r="I2" s="12" t="s">
        <v>368</v>
      </c>
      <c r="J2" s="12" t="s">
        <v>54</v>
      </c>
    </row>
    <row r="3" spans="1:10" x14ac:dyDescent="0.25">
      <c r="A3" s="13" t="str">
        <f>=Dashboard!A23</f>
        <v>TASK-INF-008</v>
      </c>
      <c r="B3" s="6" t="str">
        <f>=Dashboard!C23</f>
        <v>Logging infrastructure</v>
      </c>
      <c r="C3" s="6" t="str">
        <f>=Dashboard!D23</f>
        <v>Muhammad Sanish</v>
      </c>
      <c r="D3" s="13" t="str">
        <f>=Dashboard!E23</f>
        <v>Medium</v>
      </c>
      <c r="E3" s="13" t="str">
        <f>=Dashboard!I23</f>
        <v>TASK-INF-005</v>
      </c>
      <c r="F3" s="13" t="str">
        <f>=Dashboard!F23</f>
        <v>Not Started</v>
      </c>
      <c r="G3" s="6" t="s">
        <v>377</v>
      </c>
      <c r="H3" s="13" t="s">
        <v>106</v>
      </c>
      <c r="I3" s="13" t="s">
        <v>106</v>
      </c>
      <c r="J3" s="6" t="str">
        <f>=Dashboard!L23</f>
        <v>PII credentials redact scripts applied</v>
      </c>
    </row>
    <row r="4" spans="1:10" x14ac:dyDescent="0.25">
      <c r="A4" s="15" t="str">
        <f>=Dashboard!A25</f>
        <v>TASK-DB-001</v>
      </c>
      <c r="B4" s="9" t="str">
        <f>=Dashboard!C25</f>
        <v>User schema</v>
      </c>
      <c r="C4" s="9" t="str">
        <f>=Dashboard!D25</f>
        <v>Fathima Hana</v>
      </c>
      <c r="D4" s="15" t="str">
        <f>=Dashboard!E25</f>
        <v>Critical</v>
      </c>
      <c r="E4" s="15" t="str">
        <f>=Dashboard!I25</f>
        <v>TASK-INF-004</v>
      </c>
      <c r="F4" s="15" t="str">
        <f>=Dashboard!F25</f>
        <v>Not Started</v>
      </c>
      <c r="G4" s="9" t="s">
        <v>378</v>
      </c>
      <c r="H4" s="15" t="s">
        <v>106</v>
      </c>
      <c r="I4" s="15" t="s">
        <v>106</v>
      </c>
      <c r="J4" s="9" t="str">
        <f>=Dashboard!L25</f>
        <v>Support: Adithyan N. Unique key bounds active</v>
      </c>
    </row>
    <row r="5" spans="1:10" x14ac:dyDescent="0.25">
      <c r="A5" s="13" t="str">
        <f>=Dashboard!A26</f>
        <v>TASK-DB-002</v>
      </c>
      <c r="B5" s="6" t="str">
        <f>=Dashboard!C26</f>
        <v>Role schema</v>
      </c>
      <c r="C5" s="6" t="str">
        <f>=Dashboard!D26</f>
        <v>Fathima Hana</v>
      </c>
      <c r="D5" s="13" t="str">
        <f>=Dashboard!E26</f>
        <v>High</v>
      </c>
      <c r="E5" s="13" t="str">
        <f>=Dashboard!I26</f>
        <v>TASK-DB-001</v>
      </c>
      <c r="F5" s="13" t="str">
        <f>=Dashboard!F26</f>
        <v>Not Started</v>
      </c>
      <c r="G5" s="6" t="s">
        <v>379</v>
      </c>
      <c r="H5" s="13" t="s">
        <v>106</v>
      </c>
      <c r="I5" s="13" t="s">
        <v>106</v>
      </c>
      <c r="J5" s="6" t="str">
        <f>=Dashboard!L26</f>
        <v>Support: Adithyan N. Predefined roles seeded</v>
      </c>
    </row>
    <row r="6" spans="1:10" x14ac:dyDescent="0.25">
      <c r="A6" s="15" t="str">
        <f>=Dashboard!A27</f>
        <v>TASK-DB-003</v>
      </c>
      <c r="B6" s="9" t="str">
        <f>=Dashboard!C27</f>
        <v>Permission schema</v>
      </c>
      <c r="C6" s="9" t="str">
        <f>=Dashboard!D27</f>
        <v>Fathima Hana</v>
      </c>
      <c r="D6" s="15" t="str">
        <f>=Dashboard!E27</f>
        <v>High</v>
      </c>
      <c r="E6" s="15" t="str">
        <f>=Dashboard!I27</f>
        <v>TASK-DB-002</v>
      </c>
      <c r="F6" s="15" t="str">
        <f>=Dashboard!F27</f>
        <v>Not Started</v>
      </c>
      <c r="G6" s="9" t="s">
        <v>380</v>
      </c>
      <c r="H6" s="15" t="s">
        <v>106</v>
      </c>
      <c r="I6" s="15" t="s">
        <v>106</v>
      </c>
      <c r="J6" s="9" t="str">
        <f>=Dashboard!L27</f>
        <v>Support: Adithyan N. RBAC maps</v>
      </c>
    </row>
    <row r="7" spans="1:10" x14ac:dyDescent="0.25">
      <c r="A7" s="13" t="str">
        <f>=Dashboard!A28</f>
        <v>TASK-DB-004</v>
      </c>
      <c r="B7" s="6" t="str">
        <f>=Dashboard!C28</f>
        <v>Department schema</v>
      </c>
      <c r="C7" s="6" t="str">
        <f>=Dashboard!D28</f>
        <v>Fathima Hana</v>
      </c>
      <c r="D7" s="13" t="str">
        <f>=Dashboard!E28</f>
        <v>Medium</v>
      </c>
      <c r="E7" s="13" t="str">
        <f>=Dashboard!I28</f>
        <v>TASK-DB-001</v>
      </c>
      <c r="F7" s="13" t="str">
        <f>=Dashboard!F28</f>
        <v>Not Started</v>
      </c>
      <c r="G7" s="6" t="s">
        <v>381</v>
      </c>
      <c r="H7" s="13" t="s">
        <v>106</v>
      </c>
      <c r="I7" s="13" t="s">
        <v>64</v>
      </c>
      <c r="J7" s="6" t="str">
        <f>=Dashboard!L28</f>
        <v>Support: Adithyan N. Collection indices</v>
      </c>
    </row>
    <row r="8" spans="1:10" x14ac:dyDescent="0.25">
      <c r="A8" s="15" t="str">
        <f>=Dashboard!A37</f>
        <v>TASK-DB-013</v>
      </c>
      <c r="B8" s="9" t="str">
        <f>=Dashboard!C37</f>
        <v>Indexes</v>
      </c>
      <c r="C8" s="9" t="str">
        <f>=Dashboard!D37</f>
        <v>Fathima Hana</v>
      </c>
      <c r="D8" s="15" t="str">
        <f>=Dashboard!E37</f>
        <v>High</v>
      </c>
      <c r="E8" s="15" t="str">
        <f>=Dashboard!I37</f>
        <v>TASK-DB-001</v>
      </c>
      <c r="F8" s="15" t="str">
        <f>=Dashboard!F37</f>
        <v>Not Started</v>
      </c>
      <c r="G8" s="9" t="s">
        <v>382</v>
      </c>
      <c r="H8" s="15" t="s">
        <v>106</v>
      </c>
      <c r="I8" s="15" t="s">
        <v>64</v>
      </c>
      <c r="J8" s="9" t="str">
        <f>=Dashboard!L37</f>
        <v>Support: Adithyan N. Index strategies verified</v>
      </c>
    </row>
    <row r="9" spans="1:10" x14ac:dyDescent="0.25">
      <c r="A9" s="13" t="str">
        <f>=Dashboard!A38</f>
        <v>TASK-DB-014</v>
      </c>
      <c r="B9" s="6" t="str">
        <f>=Dashboard!C38</f>
        <v>Relationships</v>
      </c>
      <c r="C9" s="6" t="str">
        <f>=Dashboard!D38</f>
        <v>Fathima Hana</v>
      </c>
      <c r="D9" s="13" t="str">
        <f>=Dashboard!E38</f>
        <v>Medium</v>
      </c>
      <c r="E9" s="13" t="str">
        <f>=Dashboard!I38</f>
        <v>TASK-DB-002</v>
      </c>
      <c r="F9" s="13" t="str">
        <f>=Dashboard!F38</f>
        <v>Not Started</v>
      </c>
      <c r="G9" s="6" t="s">
        <v>383</v>
      </c>
      <c r="H9" s="13" t="s">
        <v>106</v>
      </c>
      <c r="I9" s="13" t="s">
        <v>64</v>
      </c>
      <c r="J9" s="6" t="str">
        <f>=Dashboard!L38</f>
        <v>Support: Adithyan N. Strict Mongoose validations</v>
      </c>
    </row>
    <row r="10" spans="1:10" x14ac:dyDescent="0.25">
      <c r="A10" s="15" t="str">
        <f>=Dashboard!A39</f>
        <v>TASK-DB-015</v>
      </c>
      <c r="B10" s="9" t="str">
        <f>=Dashboard!C39</f>
        <v>Validation rules</v>
      </c>
      <c r="C10" s="9" t="str">
        <f>=Dashboard!D39</f>
        <v>Fathima Hana</v>
      </c>
      <c r="D10" s="15" t="str">
        <f>=Dashboard!E39</f>
        <v>High</v>
      </c>
      <c r="E10" s="15" t="str">
        <f>=Dashboard!I39</f>
        <v>TASK-DB-001</v>
      </c>
      <c r="F10" s="15" t="str">
        <f>=Dashboard!F39</f>
        <v>Not Started</v>
      </c>
      <c r="G10" s="9" t="s">
        <v>384</v>
      </c>
      <c r="H10" s="15" t="s">
        <v>106</v>
      </c>
      <c r="I10" s="15" t="s">
        <v>106</v>
      </c>
      <c r="J10" s="9" t="str">
        <f>=Dashboard!L39</f>
        <v>Support: Adithyan N. Input sanity checker</v>
      </c>
    </row>
    <row r="11" spans="1:10" x14ac:dyDescent="0.25">
      <c r="A11" s="13" t="str">
        <f>=Dashboard!A41</f>
        <v>TASK-BE-001</v>
      </c>
      <c r="B11" s="6" t="str">
        <f>=Dashboard!C41</f>
        <v>Express setup</v>
      </c>
      <c r="C11" s="6" t="str">
        <f>=Dashboard!D41</f>
        <v>Muhammad Sanish</v>
      </c>
      <c r="D11" s="13" t="str">
        <f>=Dashboard!E41</f>
        <v>Critical</v>
      </c>
      <c r="E11" s="13" t="str">
        <f>=Dashboard!I41</f>
        <v>TASK-INF-005</v>
      </c>
      <c r="F11" s="13" t="str">
        <f>=Dashboard!F41</f>
        <v>Not Started</v>
      </c>
      <c r="G11" s="6" t="s">
        <v>385</v>
      </c>
      <c r="H11" s="13" t="s">
        <v>106</v>
      </c>
      <c r="I11" s="13" t="s">
        <v>106</v>
      </c>
      <c r="J11" s="6" t="str">
        <f>=Dashboard!L41</f>
        <v>Security middleware active</v>
      </c>
    </row>
    <row r="12" spans="1:10" x14ac:dyDescent="0.25">
      <c r="A12" s="15" t="str">
        <f>=Dashboard!A42</f>
        <v>TASK-BE-002</v>
      </c>
      <c r="B12" s="9" t="str">
        <f>=Dashboard!C42</f>
        <v>MongoDB connection</v>
      </c>
      <c r="C12" s="9" t="str">
        <f>=Dashboard!D42</f>
        <v>Muhammad Sanish</v>
      </c>
      <c r="D12" s="15" t="str">
        <f>=Dashboard!E42</f>
        <v>Critical</v>
      </c>
      <c r="E12" s="15" t="str">
        <f>=Dashboard!I42</f>
        <v>TASK-INF-004</v>
      </c>
      <c r="F12" s="15" t="str">
        <f>=Dashboard!F42</f>
        <v>Not Started</v>
      </c>
      <c r="G12" s="9" t="s">
        <v>386</v>
      </c>
      <c r="H12" s="15" t="s">
        <v>106</v>
      </c>
      <c r="I12" s="15" t="s">
        <v>64</v>
      </c>
      <c r="J12" s="9" t="str">
        <f>=Dashboard!L42</f>
        <v>Connection pool set to 10 connections max</v>
      </c>
    </row>
    <row r="13" spans="1:10" x14ac:dyDescent="0.25">
      <c r="A13" s="13" t="str">
        <f>=Dashboard!A43</f>
        <v>TASK-BE-003</v>
      </c>
      <c r="B13" s="6" t="str">
        <f>=Dashboard!C43</f>
        <v>Environment configuration</v>
      </c>
      <c r="C13" s="6" t="str">
        <f>=Dashboard!D43</f>
        <v>Muhammad Sanish</v>
      </c>
      <c r="D13" s="13" t="str">
        <f>=Dashboard!E43</f>
        <v>High</v>
      </c>
      <c r="E13" s="13" t="str">
        <f>=Dashboard!I43</f>
        <v>TASK-INF-005</v>
      </c>
      <c r="F13" s="13" t="str">
        <f>=Dashboard!F43</f>
        <v>Not Started</v>
      </c>
      <c r="G13" s="6" t="s">
        <v>387</v>
      </c>
      <c r="H13" s="13" t="s">
        <v>106</v>
      </c>
      <c r="I13" s="13" t="s">
        <v>106</v>
      </c>
      <c r="J13" s="6" t="str">
        <f>=Dashboard!L43</f>
        <v>Throws startup error on missing keys</v>
      </c>
    </row>
    <row r="14" spans="1:10" x14ac:dyDescent="0.25">
      <c r="A14" s="15" t="str">
        <f>=Dashboard!A48</f>
        <v>TASK-BE-008</v>
      </c>
      <c r="B14" s="9" t="str">
        <f>=Dashboard!C48</f>
        <v>RBAC middleware</v>
      </c>
      <c r="C14" s="9" t="str">
        <f>=Dashboard!D48</f>
        <v>Muhammad Sanish</v>
      </c>
      <c r="D14" s="15" t="str">
        <f>=Dashboard!E48</f>
        <v>Critical</v>
      </c>
      <c r="E14" s="15" t="str">
        <f>=Dashboard!I48</f>
        <v>TASK-BE-005</v>
      </c>
      <c r="F14" s="15" t="str">
        <f>=Dashboard!F48</f>
        <v>Not Started</v>
      </c>
      <c r="G14" s="9" t="s">
        <v>388</v>
      </c>
      <c r="H14" s="15" t="s">
        <v>106</v>
      </c>
      <c r="I14" s="15" t="s">
        <v>106</v>
      </c>
      <c r="J14" s="9" t="str">
        <f>=Dashboard!L48</f>
        <v>Role sets validation checks</v>
      </c>
    </row>
    <row r="15" spans="1:10" x14ac:dyDescent="0.25">
      <c r="A15" s="13" t="str">
        <f>=Dashboard!A50</f>
        <v>TASK-BE-010</v>
      </c>
      <c r="B15" s="6" t="str">
        <f>=Dashboard!C50</f>
        <v>Error middleware</v>
      </c>
      <c r="C15" s="6" t="str">
        <f>=Dashboard!D50</f>
        <v>Muhammad Sanish</v>
      </c>
      <c r="D15" s="13" t="str">
        <f>=Dashboard!E50</f>
        <v>Medium</v>
      </c>
      <c r="E15" s="13" t="str">
        <f>=Dashboard!I50</f>
        <v>TASK-BE-001</v>
      </c>
      <c r="F15" s="13" t="str">
        <f>=Dashboard!F50</f>
        <v>Not Started</v>
      </c>
      <c r="G15" s="6" t="s">
        <v>389</v>
      </c>
      <c r="H15" s="13" t="s">
        <v>106</v>
      </c>
      <c r="I15" s="13" t="s">
        <v>64</v>
      </c>
      <c r="J15" s="6" t="str">
        <f>=Dashboard!L50</f>
        <v>Redacts stack traces in production environment</v>
      </c>
    </row>
    <row r="16" spans="1:10" x14ac:dyDescent="0.25">
      <c r="A16" s="15" t="str">
        <f>=Dashboard!A51</f>
        <v>TASK-BE-011</v>
      </c>
      <c r="B16" s="9" t="str">
        <f>=Dashboard!C51</f>
        <v>Validation middleware</v>
      </c>
      <c r="C16" s="9" t="str">
        <f>=Dashboard!D51</f>
        <v>Muhammad Sanish</v>
      </c>
      <c r="D16" s="15" t="str">
        <f>=Dashboard!E51</f>
        <v>High</v>
      </c>
      <c r="E16" s="15" t="str">
        <f>=Dashboard!I51</f>
        <v>TASK-BE-001</v>
      </c>
      <c r="F16" s="15" t="str">
        <f>=Dashboard!F51</f>
        <v>Not Started</v>
      </c>
      <c r="G16" s="9" t="s">
        <v>390</v>
      </c>
      <c r="H16" s="15" t="s">
        <v>106</v>
      </c>
      <c r="I16" s="15" t="s">
        <v>106</v>
      </c>
      <c r="J16" s="9" t="str">
        <f>=Dashboard!L51</f>
        <v>Strips unauthorized fields</v>
      </c>
    </row>
    <row r="17" spans="1:10" x14ac:dyDescent="0.25">
      <c r="A17" s="13" t="str">
        <f>=Dashboard!A58</f>
        <v>TASK-BE-018</v>
      </c>
      <c r="B17" s="6" t="str">
        <f>=Dashboard!C58</f>
        <v>Rate limiting</v>
      </c>
      <c r="C17" s="6" t="str">
        <f>=Dashboard!D58</f>
        <v>Muhammad Sanish</v>
      </c>
      <c r="D17" s="13" t="str">
        <f>=Dashboard!E58</f>
        <v>High</v>
      </c>
      <c r="E17" s="13" t="str">
        <f>=Dashboard!I58</f>
        <v>TASK-BE-001</v>
      </c>
      <c r="F17" s="13" t="str">
        <f>=Dashboard!F58</f>
        <v>Not Started</v>
      </c>
      <c r="G17" s="6" t="s">
        <v>391</v>
      </c>
      <c r="H17" s="13" t="s">
        <v>106</v>
      </c>
      <c r="I17" s="13" t="s">
        <v>106</v>
      </c>
      <c r="J17" s="6" t="str">
        <f>=Dashboard!L58</f>
        <v>Prevents brute force attempts</v>
      </c>
    </row>
    <row r="18" spans="1:10" x14ac:dyDescent="0.25">
      <c r="A18" s="15" t="str">
        <f>=Dashboard!A59</f>
        <v>TASK-BE-019</v>
      </c>
      <c r="B18" s="9" t="str">
        <f>=Dashboard!C59</f>
        <v>Health check API</v>
      </c>
      <c r="C18" s="9" t="str">
        <f>=Dashboard!D59</f>
        <v>Muhammad Sanish</v>
      </c>
      <c r="D18" s="15" t="str">
        <f>=Dashboard!E59</f>
        <v>Low</v>
      </c>
      <c r="E18" s="15" t="str">
        <f>=Dashboard!I59</f>
        <v>TASK-BE-001</v>
      </c>
      <c r="F18" s="15" t="str">
        <f>=Dashboard!F59</f>
        <v>Not Started</v>
      </c>
      <c r="G18" s="9" t="s">
        <v>392</v>
      </c>
      <c r="H18" s="15" t="s">
        <v>106</v>
      </c>
      <c r="I18" s="15" t="s">
        <v>64</v>
      </c>
      <c r="J18" s="9" t="str">
        <f>=Dashboard!L59</f>
        <v>Returns DB status and memory limits details</v>
      </c>
    </row>
    <row r="19" spans="1:10" x14ac:dyDescent="0.25">
      <c r="A19" s="13" t="str">
        <f>=Dashboard!A61</f>
        <v>TASK-FE-001</v>
      </c>
      <c r="B19" s="6" t="str">
        <f>=Dashboard!C61</f>
        <v>React project setup</v>
      </c>
      <c r="C19" s="6" t="str">
        <f>=Dashboard!D61</f>
        <v>Adithyan N</v>
      </c>
      <c r="D19" s="13" t="str">
        <f>=Dashboard!E61</f>
        <v>High</v>
      </c>
      <c r="E19" s="13" t="str">
        <f>=Dashboard!I61</f>
        <v>None</v>
      </c>
      <c r="F19" s="13" t="str">
        <f>=Dashboard!F61</f>
        <v>Not Started</v>
      </c>
      <c r="G19" s="6" t="s">
        <v>393</v>
      </c>
      <c r="H19" s="13" t="s">
        <v>106</v>
      </c>
      <c r="I19" s="13" t="s">
        <v>64</v>
      </c>
      <c r="J19" s="6" t="str">
        <f>=Dashboard!L61</f>
        <v>Project workspace initialized</v>
      </c>
    </row>
    <row r="20" spans="1:10" x14ac:dyDescent="0.25">
      <c r="A20" s="15" t="str">
        <f>=Dashboard!A62</f>
        <v>TASK-FE-002</v>
      </c>
      <c r="B20" s="9" t="str">
        <f>=Dashboard!C62</f>
        <v>Tailwind setup</v>
      </c>
      <c r="C20" s="9" t="str">
        <f>=Dashboard!D62</f>
        <v>Adithyan N</v>
      </c>
      <c r="D20" s="15" t="str">
        <f>=Dashboard!E62</f>
        <v>High</v>
      </c>
      <c r="E20" s="15" t="str">
        <f>=Dashboard!I62</f>
        <v>TASK-FE-001</v>
      </c>
      <c r="F20" s="15" t="str">
        <f>=Dashboard!F62</f>
        <v>Not Started</v>
      </c>
      <c r="G20" s="9" t="s">
        <v>394</v>
      </c>
      <c r="H20" s="15" t="s">
        <v>106</v>
      </c>
      <c r="I20" s="15" t="s">
        <v>64</v>
      </c>
      <c r="J20" s="9" t="str">
        <f>=Dashboard!L62</f>
        <v>Custom theme color palettes mapped</v>
      </c>
    </row>
    <row r="21" spans="1:10" x14ac:dyDescent="0.25">
      <c r="A21" s="13" t="str">
        <f>=Dashboard!A63</f>
        <v>TASK-FE-003</v>
      </c>
      <c r="B21" s="6" t="str">
        <f>=Dashboard!C63</f>
        <v>Folder structure</v>
      </c>
      <c r="C21" s="6" t="str">
        <f>=Dashboard!D63</f>
        <v>Adithyan N</v>
      </c>
      <c r="D21" s="13" t="str">
        <f>=Dashboard!E63</f>
        <v>Medium</v>
      </c>
      <c r="E21" s="13" t="str">
        <f>=Dashboard!I63</f>
        <v>TASK-FE-001</v>
      </c>
      <c r="F21" s="13" t="str">
        <f>=Dashboard!F63</f>
        <v>Not Started</v>
      </c>
      <c r="G21" s="6" t="s">
        <v>395</v>
      </c>
      <c r="H21" s="13" t="s">
        <v>64</v>
      </c>
      <c r="I21" s="13" t="s">
        <v>64</v>
      </c>
      <c r="J21" s="6" t="str">
        <f>=Dashboard!L63</f>
        <v>Standard clean coding layout</v>
      </c>
    </row>
    <row r="22" spans="1:10" x14ac:dyDescent="0.25">
      <c r="A22" s="15" t="str">
        <f>=Dashboard!A64</f>
        <v>TASK-FE-004</v>
      </c>
      <c r="B22" s="9" t="str">
        <f>=Dashboard!C64</f>
        <v>Global layout</v>
      </c>
      <c r="C22" s="9" t="str">
        <f>=Dashboard!D64</f>
        <v>Adithyan N</v>
      </c>
      <c r="D22" s="15" t="str">
        <f>=Dashboard!E64</f>
        <v>High</v>
      </c>
      <c r="E22" s="15" t="str">
        <f>=Dashboard!I64</f>
        <v>TASK-FE-003</v>
      </c>
      <c r="F22" s="15" t="str">
        <f>=Dashboard!F64</f>
        <v>Not Started</v>
      </c>
      <c r="G22" s="9" t="s">
        <v>396</v>
      </c>
      <c r="H22" s="15" t="s">
        <v>106</v>
      </c>
      <c r="I22" s="15" t="s">
        <v>64</v>
      </c>
      <c r="J22" s="9" t="str">
        <f>=Dashboard!L64</f>
        <v>Mobile responsive shell layout</v>
      </c>
    </row>
    <row r="23" spans="1:10" x14ac:dyDescent="0.25">
      <c r="A23" s="13" t="str">
        <f>=Dashboard!A65</f>
        <v>TASK-FE-005</v>
      </c>
      <c r="B23" s="6" t="str">
        <f>=Dashboard!C65</f>
        <v>Routing</v>
      </c>
      <c r="C23" s="6" t="str">
        <f>=Dashboard!D65</f>
        <v>Adithyan N</v>
      </c>
      <c r="D23" s="13" t="str">
        <f>=Dashboard!E65</f>
        <v>High</v>
      </c>
      <c r="E23" s="13" t="str">
        <f>=Dashboard!I65</f>
        <v>TASK-FE-001</v>
      </c>
      <c r="F23" s="13" t="str">
        <f>=Dashboard!F65</f>
        <v>Not Started</v>
      </c>
      <c r="G23" s="6" t="s">
        <v>397</v>
      </c>
      <c r="H23" s="13" t="s">
        <v>106</v>
      </c>
      <c r="I23" s="13" t="s">
        <v>64</v>
      </c>
      <c r="J23" s="6" t="str">
        <f>=Dashboard!L65</f>
        <v>URL router structure finalized</v>
      </c>
    </row>
    <row r="24" spans="1:10" x14ac:dyDescent="0.25">
      <c r="A24" s="15" t="str">
        <f>=Dashboard!A66</f>
        <v>TASK-FE-006</v>
      </c>
      <c r="B24" s="9" t="str">
        <f>=Dashboard!C66</f>
        <v>Protected routes</v>
      </c>
      <c r="C24" s="9" t="str">
        <f>=Dashboard!D66</f>
        <v>Adithyan N</v>
      </c>
      <c r="D24" s="15" t="str">
        <f>=Dashboard!E66</f>
        <v>High</v>
      </c>
      <c r="E24" s="15" t="str">
        <f>=Dashboard!I66</f>
        <v>TASK-FE-005</v>
      </c>
      <c r="F24" s="15" t="str">
        <f>=Dashboard!F66</f>
        <v>Not Started</v>
      </c>
      <c r="G24" s="9" t="s">
        <v>398</v>
      </c>
      <c r="H24" s="15" t="s">
        <v>106</v>
      </c>
      <c r="I24" s="15" t="s">
        <v>106</v>
      </c>
      <c r="J24" s="9" t="str">
        <f>=Dashboard!L66</f>
        <v>Redirects guest to login page</v>
      </c>
    </row>
    <row r="25" spans="1:10" x14ac:dyDescent="0.25">
      <c r="A25" s="13" t="str">
        <f>=Dashboard!A67</f>
        <v>TASK-FE-007</v>
      </c>
      <c r="B25" s="6" t="str">
        <f>=Dashboard!C67</f>
        <v>Axios client</v>
      </c>
      <c r="C25" s="6" t="str">
        <f>=Dashboard!D67</f>
        <v>Adithyan N</v>
      </c>
      <c r="D25" s="13" t="str">
        <f>=Dashboard!E67</f>
        <v>High</v>
      </c>
      <c r="E25" s="13" t="str">
        <f>=Dashboard!I67</f>
        <v>None</v>
      </c>
      <c r="F25" s="13" t="str">
        <f>=Dashboard!F67</f>
        <v>Not Started</v>
      </c>
      <c r="G25" s="6" t="s">
        <v>399</v>
      </c>
      <c r="H25" s="13" t="s">
        <v>106</v>
      </c>
      <c r="I25" s="13" t="s">
        <v>64</v>
      </c>
      <c r="J25" s="6" t="str">
        <f>=Dashboard!L67</f>
        <v>Base configuration templates</v>
      </c>
    </row>
    <row r="26" spans="1:10" x14ac:dyDescent="0.25">
      <c r="A26" s="15" t="str">
        <f>=Dashboard!A68</f>
        <v>TASK-FE-008</v>
      </c>
      <c r="B26" s="9" t="str">
        <f>=Dashboard!C68</f>
        <v>API interceptors</v>
      </c>
      <c r="C26" s="9" t="str">
        <f>=Dashboard!D68</f>
        <v>Adithyan N</v>
      </c>
      <c r="D26" s="15" t="str">
        <f>=Dashboard!E68</f>
        <v>High</v>
      </c>
      <c r="E26" s="15" t="str">
        <f>=Dashboard!I68</f>
        <v>TASK-FE-007</v>
      </c>
      <c r="F26" s="15" t="str">
        <f>=Dashboard!F68</f>
        <v>Not Started</v>
      </c>
      <c r="G26" s="9" t="s">
        <v>400</v>
      </c>
      <c r="H26" s="15" t="s">
        <v>106</v>
      </c>
      <c r="I26" s="15" t="s">
        <v>106</v>
      </c>
      <c r="J26" s="9" t="str">
        <f>=Dashboard!L68</f>
        <v>Auto attaches auth tokens to headers</v>
      </c>
    </row>
    <row r="27" spans="1:10" x14ac:dyDescent="0.25">
      <c r="A27" s="13" t="str">
        <f>=Dashboard!A79</f>
        <v>TASK-FE-019</v>
      </c>
      <c r="B27" s="6" t="str">
        <f>=Dashboard!C79</f>
        <v>Reusable Components</v>
      </c>
      <c r="C27" s="6" t="str">
        <f>=Dashboard!D79</f>
        <v>Adithyan N</v>
      </c>
      <c r="D27" s="13" t="str">
        <f>=Dashboard!E79</f>
        <v>Medium</v>
      </c>
      <c r="E27" s="13" t="str">
        <f>=Dashboard!I79</f>
        <v>TASK-FE-002</v>
      </c>
      <c r="F27" s="13" t="str">
        <f>=Dashboard!F79</f>
        <v>Not Started</v>
      </c>
      <c r="G27" s="6" t="s">
        <v>401</v>
      </c>
      <c r="H27" s="13" t="s">
        <v>106</v>
      </c>
      <c r="I27" s="13" t="s">
        <v>64</v>
      </c>
      <c r="J27" s="6" t="str">
        <f>=Dashboard!L79</f>
        <v>Common component assets</v>
      </c>
    </row>
    <row r="28" spans="1:10" x14ac:dyDescent="0.25">
      <c r="A28" s="15" t="str">
        <f>=Dashboard!A82</f>
        <v>TASK-FE-022</v>
      </c>
      <c r="B28" s="9" t="str">
        <f>=Dashboard!C82</f>
        <v>Error boundaries</v>
      </c>
      <c r="C28" s="9" t="str">
        <f>=Dashboard!D82</f>
        <v>Adithyan N</v>
      </c>
      <c r="D28" s="15" t="str">
        <f>=Dashboard!E82</f>
        <v>Low</v>
      </c>
      <c r="E28" s="15" t="str">
        <f>=Dashboard!I82</f>
        <v>TASK-FE-001</v>
      </c>
      <c r="F28" s="15" t="str">
        <f>=Dashboard!F82</f>
        <v>Not Started</v>
      </c>
      <c r="G28" s="9" t="s">
        <v>402</v>
      </c>
      <c r="H28" s="15" t="s">
        <v>106</v>
      </c>
      <c r="I28" s="15" t="s">
        <v>64</v>
      </c>
      <c r="J28" s="9" t="str">
        <f>=Dashboard!L82</f>
        <v>No stack details shown in production UI</v>
      </c>
    </row>
    <row r="29" spans="1:10" x14ac:dyDescent="0.25">
      <c r="A29" s="13" t="str">
        <f>=Dashboard!A83</f>
        <v>TASK-FE-023</v>
      </c>
      <c r="B29" s="6" t="str">
        <f>=Dashboard!C83</f>
        <v>Loading components</v>
      </c>
      <c r="C29" s="6" t="str">
        <f>=Dashboard!D83</f>
        <v>Adithyan N</v>
      </c>
      <c r="D29" s="13" t="str">
        <f>=Dashboard!E83</f>
        <v>Low</v>
      </c>
      <c r="E29" s="13" t="str">
        <f>=Dashboard!I83</f>
        <v>TASK-FE-001</v>
      </c>
      <c r="F29" s="13" t="str">
        <f>=Dashboard!F83</f>
        <v>Not Started</v>
      </c>
      <c r="G29" s="6" t="s">
        <v>403</v>
      </c>
      <c r="H29" s="13" t="s">
        <v>106</v>
      </c>
      <c r="I29" s="13" t="s">
        <v>64</v>
      </c>
      <c r="J29" s="6" t="str">
        <f>=Dashboard!L83</f>
        <v>Visual placeholders setup</v>
      </c>
    </row>
    <row r="30" spans="1:10" x14ac:dyDescent="0.25">
      <c r="A30" s="15" t="str">
        <f>=Dashboard!A103</f>
        <v>TASK-QA-001</v>
      </c>
      <c r="B30" s="9" t="str">
        <f>=Dashboard!C103</f>
        <v>Requirement traceability</v>
      </c>
      <c r="C30" s="9" t="str">
        <f>=Dashboard!D103</f>
        <v>Minha Palakkathodi</v>
      </c>
      <c r="D30" s="15" t="str">
        <f>=Dashboard!E103</f>
        <v>High</v>
      </c>
      <c r="E30" s="15" t="str">
        <f>=Dashboard!I103</f>
        <v>None</v>
      </c>
      <c r="F30" s="15" t="str">
        <f>=Dashboard!F103</f>
        <v>Not Started</v>
      </c>
      <c r="G30" s="9" t="s">
        <v>404</v>
      </c>
      <c r="H30" s="15" t="s">
        <v>64</v>
      </c>
      <c r="I30" s="15" t="s">
        <v>64</v>
      </c>
      <c r="J30" s="9" t="str">
        <f>=Dashboard!L103</f>
        <v>Master traceability index setup</v>
      </c>
    </row>
  </sheetData>
  <autoFilter ref="A2:J30"/>
  <mergeCells count="1">
    <mergeCell ref="A1:J1"/>
  </mergeCells>
  <conditionalFormatting sqref="F3:F30">
    <cfRule type="cellIs" dxfId="18" priority="1" operator="equal">
      <formula>"Completed"</formula>
    </cfRule>
    <cfRule type="cellIs" dxfId="19" priority="2" operator="equal">
      <formula>"In Progress"</formula>
    </cfRule>
    <cfRule type="cellIs" dxfId="20" priority="3" operator="equal">
      <formula>"Review"</formula>
    </cfRule>
    <cfRule type="cellIs" dxfId="21" priority="4" operator="equal">
      <formula>"Blocked"</formula>
    </cfRule>
    <cfRule type="cellIs" dxfId="22" priority="5" operator="equal">
      <formula>"Not Started"</formula>
    </cfRule>
  </conditionalFormatting>
  <conditionalFormatting sqref="D3:D30">
    <cfRule type="cellIs" dxfId="23" priority="6" operator="equal">
      <formula>"Critical"</formula>
    </cfRule>
    <cfRule type="cellIs" dxfId="24" priority="7" operator="equal">
      <formula>"High"</formula>
    </cfRule>
    <cfRule type="cellIs" dxfId="25" priority="8" operator="equal">
      <formula>"Medium"</formula>
    </cfRule>
    <cfRule type="cellIs" dxfId="26" priority="9" operator="equal">
      <formula>"Low"</formula>
    </cfRule>
  </conditionalFormatting>
  <dataValidations count="4">
    <dataValidation type="list" allowBlank="1" sqref="D10:D30">
      <formula1>"Critical,High,Medium,Low"</formula1>
    </dataValidation>
    <dataValidation type="list" allowBlank="1" sqref="D3:D30">
      <formula1>"Critical,High,Medium,Low"</formula1>
    </dataValidation>
    <dataValidation type="list" allowBlank="1" sqref="F10:F30">
      <formula1>"Not Started,In Progress,Review,Completed,Blocked"</formula1>
    </dataValidation>
    <dataValidation type="list" allowBlank="1" sqref="F3:F30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405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43</v>
      </c>
      <c r="B2" s="12" t="s">
        <v>45</v>
      </c>
      <c r="C2" s="12" t="s">
        <v>46</v>
      </c>
      <c r="D2" s="12" t="s">
        <v>47</v>
      </c>
      <c r="E2" s="12" t="s">
        <v>51</v>
      </c>
      <c r="F2" s="12" t="s">
        <v>48</v>
      </c>
      <c r="G2" s="12" t="s">
        <v>366</v>
      </c>
      <c r="H2" s="12" t="s">
        <v>367</v>
      </c>
      <c r="I2" s="12" t="s">
        <v>368</v>
      </c>
      <c r="J2" s="12" t="s">
        <v>54</v>
      </c>
    </row>
    <row r="3" spans="1:10" x14ac:dyDescent="0.25">
      <c r="A3" s="13" t="str">
        <f>=Dashboard!A29</f>
        <v>TASK-DB-005</v>
      </c>
      <c r="B3" s="6" t="str">
        <f>=Dashboard!C29</f>
        <v>Complaint schema</v>
      </c>
      <c r="C3" s="6" t="str">
        <f>=Dashboard!D29</f>
        <v>Fathima Hana</v>
      </c>
      <c r="D3" s="13" t="str">
        <f>=Dashboard!E29</f>
        <v>Critical</v>
      </c>
      <c r="E3" s="13" t="str">
        <f>=Dashboard!I29</f>
        <v>TASK-DB-001</v>
      </c>
      <c r="F3" s="13" t="str">
        <f>=Dashboard!F29</f>
        <v>Not Started</v>
      </c>
      <c r="G3" s="6" t="s">
        <v>406</v>
      </c>
      <c r="H3" s="13" t="s">
        <v>106</v>
      </c>
      <c r="I3" s="13" t="s">
        <v>106</v>
      </c>
      <c r="J3" s="6" t="str">
        <f>=Dashboard!L29</f>
        <v>Support: Adithyan N. Handles attachments path strings</v>
      </c>
    </row>
    <row r="4" spans="1:10" x14ac:dyDescent="0.25">
      <c r="A4" s="15" t="str">
        <f>=Dashboard!A30</f>
        <v>TASK-DB-006</v>
      </c>
      <c r="B4" s="9" t="str">
        <f>=Dashboard!C30</f>
        <v>Complaint assignment schema</v>
      </c>
      <c r="C4" s="9" t="str">
        <f>=Dashboard!D30</f>
        <v>Fathima Hana</v>
      </c>
      <c r="D4" s="15" t="str">
        <f>=Dashboard!E30</f>
        <v>High</v>
      </c>
      <c r="E4" s="15" t="str">
        <f>=Dashboard!I30</f>
        <v>TASK-DB-005</v>
      </c>
      <c r="F4" s="15" t="str">
        <f>=Dashboard!F30</f>
        <v>Not Started</v>
      </c>
      <c r="G4" s="9" t="s">
        <v>407</v>
      </c>
      <c r="H4" s="15" t="s">
        <v>106</v>
      </c>
      <c r="I4" s="15" t="s">
        <v>64</v>
      </c>
      <c r="J4" s="9" t="str">
        <f>=Dashboard!L30</f>
        <v>Support: Adithyan N. References user and complaint</v>
      </c>
    </row>
    <row r="5" spans="1:10" x14ac:dyDescent="0.25">
      <c r="A5" s="13" t="str">
        <f>=Dashboard!A44</f>
        <v>TASK-BE-004</v>
      </c>
      <c r="B5" s="6" t="str">
        <f>=Dashboard!C44</f>
        <v>Authentication APIs</v>
      </c>
      <c r="C5" s="6" t="str">
        <f>=Dashboard!D44</f>
        <v>Muhammad Sanish</v>
      </c>
      <c r="D5" s="13" t="str">
        <f>=Dashboard!E44</f>
        <v>Critical</v>
      </c>
      <c r="E5" s="13" t="str">
        <f>=Dashboard!I44</f>
        <v>TASK-BE-001</v>
      </c>
      <c r="F5" s="13" t="str">
        <f>=Dashboard!F44</f>
        <v>Not Started</v>
      </c>
      <c r="G5" s="6" t="s">
        <v>408</v>
      </c>
      <c r="H5" s="13" t="s">
        <v>106</v>
      </c>
      <c r="I5" s="13" t="s">
        <v>106</v>
      </c>
      <c r="J5" s="6" t="str">
        <f>=Dashboard!L44</f>
        <v>Bcrypt salt rounds configured</v>
      </c>
    </row>
    <row r="6" spans="1:10" x14ac:dyDescent="0.25">
      <c r="A6" s="15" t="str">
        <f>=Dashboard!A45</f>
        <v>TASK-BE-005</v>
      </c>
      <c r="B6" s="9" t="str">
        <f>=Dashboard!C45</f>
        <v>JWT implementation</v>
      </c>
      <c r="C6" s="9" t="str">
        <f>=Dashboard!D45</f>
        <v>Muhammad Sanish</v>
      </c>
      <c r="D6" s="15" t="str">
        <f>=Dashboard!E45</f>
        <v>Critical</v>
      </c>
      <c r="E6" s="15" t="str">
        <f>=Dashboard!I45</f>
        <v>TASK-BE-004</v>
      </c>
      <c r="F6" s="15" t="str">
        <f>=Dashboard!F45</f>
        <v>Not Started</v>
      </c>
      <c r="G6" s="9" t="s">
        <v>409</v>
      </c>
      <c r="H6" s="15" t="s">
        <v>106</v>
      </c>
      <c r="I6" s="15" t="s">
        <v>106</v>
      </c>
      <c r="J6" s="9" t="str">
        <f>=Dashboard!L45</f>
        <v>Token expires in 15 mins</v>
      </c>
    </row>
    <row r="7" spans="1:10" x14ac:dyDescent="0.25">
      <c r="A7" s="13" t="str">
        <f>=Dashboard!A46</f>
        <v>TASK-BE-006</v>
      </c>
      <c r="B7" s="6" t="str">
        <f>=Dashboard!C46</f>
        <v>Refresh token API</v>
      </c>
      <c r="C7" s="6" t="str">
        <f>=Dashboard!D46</f>
        <v>Muhammad Sanish</v>
      </c>
      <c r="D7" s="13" t="str">
        <f>=Dashboard!E46</f>
        <v>High</v>
      </c>
      <c r="E7" s="13" t="str">
        <f>=Dashboard!I46</f>
        <v>TASK-BE-005</v>
      </c>
      <c r="F7" s="13" t="str">
        <f>=Dashboard!F46</f>
        <v>Not Started</v>
      </c>
      <c r="G7" s="6" t="s">
        <v>410</v>
      </c>
      <c r="H7" s="13" t="s">
        <v>106</v>
      </c>
      <c r="I7" s="13" t="s">
        <v>106</v>
      </c>
      <c r="J7" s="6" t="str">
        <f>=Dashboard!L46</f>
        <v>Secure cookie transport tags configuration</v>
      </c>
    </row>
    <row r="8" spans="1:10" x14ac:dyDescent="0.25">
      <c r="A8" s="15" t="str">
        <f>=Dashboard!A47</f>
        <v>TASK-BE-007</v>
      </c>
      <c r="B8" s="9" t="str">
        <f>=Dashboard!C47</f>
        <v>Logout API</v>
      </c>
      <c r="C8" s="9" t="str">
        <f>=Dashboard!D47</f>
        <v>Muhammad Sanish</v>
      </c>
      <c r="D8" s="15" t="str">
        <f>=Dashboard!E47</f>
        <v>Medium</v>
      </c>
      <c r="E8" s="15" t="str">
        <f>=Dashboard!I47</f>
        <v>TASK-BE-005</v>
      </c>
      <c r="F8" s="15" t="str">
        <f>=Dashboard!F47</f>
        <v>Not Started</v>
      </c>
      <c r="G8" s="9" t="s">
        <v>411</v>
      </c>
      <c r="H8" s="15" t="s">
        <v>106</v>
      </c>
      <c r="I8" s="15" t="s">
        <v>64</v>
      </c>
      <c r="J8" s="9" t="str">
        <f>=Dashboard!L47</f>
        <v>Revokes active refresh session</v>
      </c>
    </row>
    <row r="9" spans="1:10" x14ac:dyDescent="0.25">
      <c r="A9" s="13" t="str">
        <f>=Dashboard!A52</f>
        <v>TASK-BE-012</v>
      </c>
      <c r="B9" s="6" t="str">
        <f>=Dashboard!C52</f>
        <v>Complaint APIs</v>
      </c>
      <c r="C9" s="6" t="str">
        <f>=Dashboard!D52</f>
        <v>Muhammad Sanish</v>
      </c>
      <c r="D9" s="13" t="str">
        <f>=Dashboard!E52</f>
        <v>High</v>
      </c>
      <c r="E9" s="13" t="str">
        <f>=Dashboard!I52</f>
        <v>TASK-BE-008</v>
      </c>
      <c r="F9" s="13" t="str">
        <f>=Dashboard!F52</f>
        <v>Not Started</v>
      </c>
      <c r="G9" s="6" t="s">
        <v>412</v>
      </c>
      <c r="H9" s="13" t="s">
        <v>106</v>
      </c>
      <c r="I9" s="13" t="s">
        <v>106</v>
      </c>
      <c r="J9" s="6" t="str">
        <f>=Dashboard!L52</f>
        <v>Resource ownership validations active</v>
      </c>
    </row>
    <row r="10" spans="1:10" x14ac:dyDescent="0.25">
      <c r="A10" s="15" t="str">
        <f>=Dashboard!A69</f>
        <v>TASK-FE-009</v>
      </c>
      <c r="B10" s="9" t="str">
        <f>=Dashboard!C69</f>
        <v>Authentication pages</v>
      </c>
      <c r="C10" s="9" t="str">
        <f>=Dashboard!D69</f>
        <v>Adithyan N</v>
      </c>
      <c r="D10" s="15" t="str">
        <f>=Dashboard!E69</f>
        <v>High</v>
      </c>
      <c r="E10" s="15" t="str">
        <f>=Dashboard!I69</f>
        <v>TASK-FE-006</v>
      </c>
      <c r="F10" s="15" t="str">
        <f>=Dashboard!F69</f>
        <v>Not Started</v>
      </c>
      <c r="G10" s="9" t="s">
        <v>413</v>
      </c>
      <c r="H10" s="15" t="s">
        <v>106</v>
      </c>
      <c r="I10" s="15" t="s">
        <v>106</v>
      </c>
      <c r="J10" s="9" t="str">
        <f>=Dashboard!L69</f>
        <v>Client side input validation rules active</v>
      </c>
    </row>
    <row r="11" spans="1:10" x14ac:dyDescent="0.25">
      <c r="A11" s="13" t="str">
        <f>=Dashboard!A70</f>
        <v>TASK-FE-010</v>
      </c>
      <c r="B11" s="6" t="str">
        <f>=Dashboard!C70</f>
        <v>Citizen Dashboard</v>
      </c>
      <c r="C11" s="6" t="str">
        <f>=Dashboard!D70</f>
        <v>Adithyan N</v>
      </c>
      <c r="D11" s="13" t="str">
        <f>=Dashboard!E70</f>
        <v>High</v>
      </c>
      <c r="E11" s="13" t="str">
        <f>=Dashboard!I70</f>
        <v>TASK-FE-006</v>
      </c>
      <c r="F11" s="13" t="str">
        <f>=Dashboard!F70</f>
        <v>Not Started</v>
      </c>
      <c r="G11" s="6" t="s">
        <v>414</v>
      </c>
      <c r="H11" s="13" t="s">
        <v>106</v>
      </c>
      <c r="I11" s="13" t="s">
        <v>64</v>
      </c>
      <c r="J11" s="6" t="str">
        <f>=Dashboard!L70</f>
        <v>Overview dashboard for citizen portals</v>
      </c>
    </row>
    <row r="12" spans="1:10" x14ac:dyDescent="0.25">
      <c r="A12" s="15" t="str">
        <f>=Dashboard!A71</f>
        <v>TASK-FE-011</v>
      </c>
      <c r="B12" s="9" t="str">
        <f>=Dashboard!C71</f>
        <v>Complaint Management UI</v>
      </c>
      <c r="C12" s="9" t="str">
        <f>=Dashboard!D71</f>
        <v>Adithyan N</v>
      </c>
      <c r="D12" s="15" t="str">
        <f>=Dashboard!E71</f>
        <v>High</v>
      </c>
      <c r="E12" s="15" t="str">
        <f>=Dashboard!I71</f>
        <v>TASK-FE-010</v>
      </c>
      <c r="F12" s="15" t="str">
        <f>=Dashboard!F71</f>
        <v>Not Started</v>
      </c>
      <c r="G12" s="9" t="s">
        <v>415</v>
      </c>
      <c r="H12" s="15" t="s">
        <v>106</v>
      </c>
      <c r="I12" s="15" t="s">
        <v>106</v>
      </c>
      <c r="J12" s="9" t="str">
        <f>=Dashboard!L71</f>
        <v>File type constraints validated</v>
      </c>
    </row>
    <row r="13" spans="1:10" x14ac:dyDescent="0.25">
      <c r="A13" s="13" t="str">
        <f>=Dashboard!A104</f>
        <v>TASK-QA-002</v>
      </c>
      <c r="B13" s="6" t="str">
        <f>=Dashboard!C104</f>
        <v>Test case creation</v>
      </c>
      <c r="C13" s="6" t="str">
        <f>=Dashboard!D104</f>
        <v>Minha Palakkathodi</v>
      </c>
      <c r="D13" s="13" t="str">
        <f>=Dashboard!E104</f>
        <v>High</v>
      </c>
      <c r="E13" s="13" t="str">
        <f>=Dashboard!I104</f>
        <v>TASK-QA-001</v>
      </c>
      <c r="F13" s="13" t="str">
        <f>=Dashboard!F104</f>
        <v>Not Started</v>
      </c>
      <c r="G13" s="6" t="s">
        <v>416</v>
      </c>
      <c r="H13" s="13" t="s">
        <v>64</v>
      </c>
      <c r="I13" s="13" t="s">
        <v>64</v>
      </c>
      <c r="J13" s="6" t="str">
        <f>=Dashboard!L104</f>
        <v>Manual check sheets ready</v>
      </c>
    </row>
  </sheetData>
  <autoFilter ref="A2:J13"/>
  <mergeCells count="1">
    <mergeCell ref="A1:J1"/>
  </mergeCells>
  <conditionalFormatting sqref="F3:F13">
    <cfRule type="cellIs" dxfId="27" priority="1" operator="equal">
      <formula>"Completed"</formula>
    </cfRule>
    <cfRule type="cellIs" dxfId="28" priority="2" operator="equal">
      <formula>"In Progress"</formula>
    </cfRule>
    <cfRule type="cellIs" dxfId="29" priority="3" operator="equal">
      <formula>"Review"</formula>
    </cfRule>
    <cfRule type="cellIs" dxfId="30" priority="4" operator="equal">
      <formula>"Blocked"</formula>
    </cfRule>
    <cfRule type="cellIs" dxfId="31" priority="5" operator="equal">
      <formula>"Not Started"</formula>
    </cfRule>
  </conditionalFormatting>
  <conditionalFormatting sqref="D3:D13">
    <cfRule type="cellIs" dxfId="32" priority="6" operator="equal">
      <formula>"Critical"</formula>
    </cfRule>
    <cfRule type="cellIs" dxfId="33" priority="7" operator="equal">
      <formula>"High"</formula>
    </cfRule>
    <cfRule type="cellIs" dxfId="34" priority="8" operator="equal">
      <formula>"Medium"</formula>
    </cfRule>
    <cfRule type="cellIs" dxfId="35" priority="9" operator="equal">
      <formula>"Low"</formula>
    </cfRule>
  </conditionalFormatting>
  <dataValidations count="4">
    <dataValidation type="list" allowBlank="1" sqref="D10:D13">
      <formula1>"Critical,High,Medium,Low"</formula1>
    </dataValidation>
    <dataValidation type="list" allowBlank="1" sqref="D3:D13">
      <formula1>"Critical,High,Medium,Low"</formula1>
    </dataValidation>
    <dataValidation type="list" allowBlank="1" sqref="F10:F13">
      <formula1>"Not Started,In Progress,Review,Completed,Blocked"</formula1>
    </dataValidation>
    <dataValidation type="list" allowBlank="1" sqref="F3:F13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417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43</v>
      </c>
      <c r="B2" s="12" t="s">
        <v>45</v>
      </c>
      <c r="C2" s="12" t="s">
        <v>46</v>
      </c>
      <c r="D2" s="12" t="s">
        <v>47</v>
      </c>
      <c r="E2" s="12" t="s">
        <v>51</v>
      </c>
      <c r="F2" s="12" t="s">
        <v>48</v>
      </c>
      <c r="G2" s="12" t="s">
        <v>366</v>
      </c>
      <c r="H2" s="12" t="s">
        <v>367</v>
      </c>
      <c r="I2" s="12" t="s">
        <v>368</v>
      </c>
      <c r="J2" s="12" t="s">
        <v>54</v>
      </c>
    </row>
    <row r="3" spans="1:10" x14ac:dyDescent="0.25">
      <c r="A3" s="13" t="str">
        <f>=Dashboard!A31</f>
        <v>TASK-DB-007</v>
      </c>
      <c r="B3" s="6" t="str">
        <f>=Dashboard!C31</f>
        <v>File tracking schema</v>
      </c>
      <c r="C3" s="6" t="str">
        <f>=Dashboard!D31</f>
        <v>Fathima Hana</v>
      </c>
      <c r="D3" s="13" t="str">
        <f>=Dashboard!E31</f>
        <v>Medium</v>
      </c>
      <c r="E3" s="13" t="str">
        <f>=Dashboard!I31</f>
        <v>TASK-DB-005</v>
      </c>
      <c r="F3" s="13" t="str">
        <f>=Dashboard!F31</f>
        <v>Not Started</v>
      </c>
      <c r="G3" s="6" t="s">
        <v>418</v>
      </c>
      <c r="H3" s="13" t="s">
        <v>106</v>
      </c>
      <c r="I3" s="13" t="s">
        <v>64</v>
      </c>
      <c r="J3" s="6" t="str">
        <f>=Dashboard!L31</f>
        <v>Support: Adithyan N. Tracks history steps</v>
      </c>
    </row>
    <row r="4" spans="1:10" x14ac:dyDescent="0.25">
      <c r="A4" s="15" t="str">
        <f>=Dashboard!A32</f>
        <v>TASK-DB-008</v>
      </c>
      <c r="B4" s="9" t="str">
        <f>=Dashboard!C32</f>
        <v>Feedback schema</v>
      </c>
      <c r="C4" s="9" t="str">
        <f>=Dashboard!D32</f>
        <v>Fathima Hana</v>
      </c>
      <c r="D4" s="15" t="str">
        <f>=Dashboard!E32</f>
        <v>Medium</v>
      </c>
      <c r="E4" s="15" t="str">
        <f>=Dashboard!I32</f>
        <v>TASK-DB-005</v>
      </c>
      <c r="F4" s="15" t="str">
        <f>=Dashboard!F32</f>
        <v>Not Started</v>
      </c>
      <c r="G4" s="9" t="s">
        <v>419</v>
      </c>
      <c r="H4" s="15" t="s">
        <v>106</v>
      </c>
      <c r="I4" s="15" t="s">
        <v>64</v>
      </c>
      <c r="J4" s="9" t="str">
        <f>=Dashboard!L32</f>
        <v>Support: Adithyan N. Constraints bounds checks</v>
      </c>
    </row>
    <row r="5" spans="1:10" x14ac:dyDescent="0.25">
      <c r="A5" s="13" t="str">
        <f>=Dashboard!A53</f>
        <v>TASK-BE-013</v>
      </c>
      <c r="B5" s="6" t="str">
        <f>=Dashboard!C53</f>
        <v>File Tracking APIs</v>
      </c>
      <c r="C5" s="6" t="str">
        <f>=Dashboard!D53</f>
        <v>Muhammad Sanish</v>
      </c>
      <c r="D5" s="13" t="str">
        <f>=Dashboard!E53</f>
        <v>Medium</v>
      </c>
      <c r="E5" s="13" t="str">
        <f>=Dashboard!I53</f>
        <v>TASK-BE-008</v>
      </c>
      <c r="F5" s="13" t="str">
        <f>=Dashboard!F53</f>
        <v>Not Started</v>
      </c>
      <c r="G5" s="6" t="s">
        <v>420</v>
      </c>
      <c r="H5" s="13" t="s">
        <v>106</v>
      </c>
      <c r="I5" s="13" t="s">
        <v>106</v>
      </c>
      <c r="J5" s="6" t="str">
        <f>=Dashboard!L53</f>
        <v>Suppresses internal notes and logs on public view</v>
      </c>
    </row>
    <row r="6" spans="1:10" x14ac:dyDescent="0.25">
      <c r="A6" s="15" t="str">
        <f>=Dashboard!A54</f>
        <v>TASK-BE-014</v>
      </c>
      <c r="B6" s="9" t="str">
        <f>=Dashboard!C54</f>
        <v>Feedback APIs</v>
      </c>
      <c r="C6" s="9" t="str">
        <f>=Dashboard!D54</f>
        <v>Muhammad Sanish</v>
      </c>
      <c r="D6" s="15" t="str">
        <f>=Dashboard!E54</f>
        <v>Medium</v>
      </c>
      <c r="E6" s="15" t="str">
        <f>=Dashboard!I54</f>
        <v>TASK-BE-012</v>
      </c>
      <c r="F6" s="15" t="str">
        <f>=Dashboard!F54</f>
        <v>Not Started</v>
      </c>
      <c r="G6" s="9" t="s">
        <v>421</v>
      </c>
      <c r="H6" s="15" t="s">
        <v>106</v>
      </c>
      <c r="I6" s="15" t="s">
        <v>64</v>
      </c>
      <c r="J6" s="9" t="str">
        <f>=Dashboard!L54</f>
        <v>Locks complaints database records on completion</v>
      </c>
    </row>
    <row r="7" spans="1:10" x14ac:dyDescent="0.25">
      <c r="A7" s="13" t="str">
        <f>=Dashboard!A72</f>
        <v>TASK-FE-012</v>
      </c>
      <c r="B7" s="6" t="str">
        <f>=Dashboard!C72</f>
        <v>File Tracking UI</v>
      </c>
      <c r="C7" s="6" t="str">
        <f>=Dashboard!D72</f>
        <v>Adithyan N</v>
      </c>
      <c r="D7" s="13" t="str">
        <f>=Dashboard!E72</f>
        <v>Medium</v>
      </c>
      <c r="E7" s="13" t="str">
        <f>=Dashboard!I72</f>
        <v>TASK-FE-008</v>
      </c>
      <c r="F7" s="13" t="str">
        <f>=Dashboard!F72</f>
        <v>Not Started</v>
      </c>
      <c r="G7" s="6" t="s">
        <v>422</v>
      </c>
      <c r="H7" s="13" t="s">
        <v>106</v>
      </c>
      <c r="I7" s="13" t="s">
        <v>64</v>
      </c>
      <c r="J7" s="6" t="str">
        <f>=Dashboard!L72</f>
        <v>Visual timeline progress trackers</v>
      </c>
    </row>
    <row r="8" spans="1:10" x14ac:dyDescent="0.25">
      <c r="A8" s="15" t="str">
        <f>=Dashboard!A73</f>
        <v>TASK-FE-013</v>
      </c>
      <c r="B8" s="9" t="str">
        <f>=Dashboard!C73</f>
        <v>Feedback UI</v>
      </c>
      <c r="C8" s="9" t="str">
        <f>=Dashboard!D73</f>
        <v>Adithyan N</v>
      </c>
      <c r="D8" s="15" t="str">
        <f>=Dashboard!E73</f>
        <v>Medium</v>
      </c>
      <c r="E8" s="15" t="str">
        <f>=Dashboard!I73</f>
        <v>TASK-FE-011</v>
      </c>
      <c r="F8" s="15" t="str">
        <f>=Dashboard!F73</f>
        <v>Not Started</v>
      </c>
      <c r="G8" s="9" t="s">
        <v>423</v>
      </c>
      <c r="H8" s="15" t="s">
        <v>106</v>
      </c>
      <c r="I8" s="15" t="s">
        <v>64</v>
      </c>
      <c r="J8" s="9" t="str">
        <f>=Dashboard!L73</f>
        <v>1-to-5 star feedback rating</v>
      </c>
    </row>
  </sheetData>
  <autoFilter ref="A2:J8"/>
  <mergeCells count="1">
    <mergeCell ref="A1:J1"/>
  </mergeCells>
  <conditionalFormatting sqref="F3:F8">
    <cfRule type="cellIs" dxfId="36" priority="1" operator="equal">
      <formula>"Completed"</formula>
    </cfRule>
    <cfRule type="cellIs" dxfId="37" priority="2" operator="equal">
      <formula>"In Progress"</formula>
    </cfRule>
    <cfRule type="cellIs" dxfId="38" priority="3" operator="equal">
      <formula>"Review"</formula>
    </cfRule>
    <cfRule type="cellIs" dxfId="39" priority="4" operator="equal">
      <formula>"Blocked"</formula>
    </cfRule>
    <cfRule type="cellIs" dxfId="40" priority="5" operator="equal">
      <formula>"Not Started"</formula>
    </cfRule>
  </conditionalFormatting>
  <conditionalFormatting sqref="D3:D8">
    <cfRule type="cellIs" dxfId="41" priority="6" operator="equal">
      <formula>"Critical"</formula>
    </cfRule>
    <cfRule type="cellIs" dxfId="42" priority="7" operator="equal">
      <formula>"High"</formula>
    </cfRule>
    <cfRule type="cellIs" dxfId="43" priority="8" operator="equal">
      <formula>"Medium"</formula>
    </cfRule>
    <cfRule type="cellIs" dxfId="44" priority="9" operator="equal">
      <formula>"Low"</formula>
    </cfRule>
  </conditionalFormatting>
  <dataValidations count="2">
    <dataValidation type="list" allowBlank="1" sqref="D3:D8">
      <formula1>"Critical,High,Medium,Low"</formula1>
    </dataValidation>
    <dataValidation type="list" allowBlank="1" sqref="F3:F8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424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43</v>
      </c>
      <c r="B2" s="12" t="s">
        <v>45</v>
      </c>
      <c r="C2" s="12" t="s">
        <v>46</v>
      </c>
      <c r="D2" s="12" t="s">
        <v>47</v>
      </c>
      <c r="E2" s="12" t="s">
        <v>51</v>
      </c>
      <c r="F2" s="12" t="s">
        <v>48</v>
      </c>
      <c r="G2" s="12" t="s">
        <v>366</v>
      </c>
      <c r="H2" s="12" t="s">
        <v>367</v>
      </c>
      <c r="I2" s="12" t="s">
        <v>368</v>
      </c>
      <c r="J2" s="12" t="s">
        <v>54</v>
      </c>
    </row>
    <row r="3" spans="1:10" x14ac:dyDescent="0.25">
      <c r="A3" s="13" t="str">
        <f>=Dashboard!A33</f>
        <v>TASK-DB-009</v>
      </c>
      <c r="B3" s="6" t="str">
        <f>=Dashboard!C33</f>
        <v>Attendance schema</v>
      </c>
      <c r="C3" s="6" t="str">
        <f>=Dashboard!D33</f>
        <v>Fathima Hana</v>
      </c>
      <c r="D3" s="13" t="str">
        <f>=Dashboard!E33</f>
        <v>High</v>
      </c>
      <c r="E3" s="13" t="str">
        <f>=Dashboard!I33</f>
        <v>TASK-DB-001</v>
      </c>
      <c r="F3" s="13" t="str">
        <f>=Dashboard!F33</f>
        <v>Not Started</v>
      </c>
      <c r="G3" s="6" t="s">
        <v>425</v>
      </c>
      <c r="H3" s="13" t="s">
        <v>106</v>
      </c>
      <c r="I3" s="13" t="s">
        <v>106</v>
      </c>
      <c r="J3" s="6" t="str">
        <f>=Dashboard!L33</f>
        <v>Support: Adithyan N. Biometric template matches parameters</v>
      </c>
    </row>
    <row r="4" spans="1:10" x14ac:dyDescent="0.25">
      <c r="A4" s="15" t="str">
        <f>=Dashboard!A36</f>
        <v>TASK-DB-012</v>
      </c>
      <c r="B4" s="9" t="str">
        <f>=Dashboard!C36</f>
        <v>Chatbot session schema</v>
      </c>
      <c r="C4" s="9" t="str">
        <f>=Dashboard!D36</f>
        <v>Fathima Hana</v>
      </c>
      <c r="D4" s="15" t="str">
        <f>=Dashboard!E36</f>
        <v>Medium</v>
      </c>
      <c r="E4" s="15" t="str">
        <f>=Dashboard!I36</f>
        <v>TASK-DB-001</v>
      </c>
      <c r="F4" s="15" t="str">
        <f>=Dashboard!F36</f>
        <v>Not Started</v>
      </c>
      <c r="G4" s="9" t="s">
        <v>426</v>
      </c>
      <c r="H4" s="15" t="s">
        <v>106</v>
      </c>
      <c r="I4" s="15" t="s">
        <v>64</v>
      </c>
      <c r="J4" s="9" t="str">
        <f>=Dashboard!L36</f>
        <v>Support: Adithyan N. Session TTL setup</v>
      </c>
    </row>
    <row r="5" spans="1:10" x14ac:dyDescent="0.25">
      <c r="A5" s="13" t="str">
        <f>=Dashboard!A55</f>
        <v>TASK-BE-015</v>
      </c>
      <c r="B5" s="6" t="str">
        <f>=Dashboard!C55</f>
        <v>Attendance APIs</v>
      </c>
      <c r="C5" s="6" t="str">
        <f>=Dashboard!D55</f>
        <v>Muhammad Sanish</v>
      </c>
      <c r="D5" s="13" t="str">
        <f>=Dashboard!E55</f>
        <v>High</v>
      </c>
      <c r="E5" s="13" t="str">
        <f>=Dashboard!I55</f>
        <v>TASK-BE-008</v>
      </c>
      <c r="F5" s="13" t="str">
        <f>=Dashboard!F55</f>
        <v>Not Started</v>
      </c>
      <c r="G5" s="6" t="s">
        <v>427</v>
      </c>
      <c r="H5" s="13" t="s">
        <v>106</v>
      </c>
      <c r="I5" s="13" t="s">
        <v>106</v>
      </c>
      <c r="J5" s="6" t="str">
        <f>=Dashboard!L55</f>
        <v>Validates consent status before scan logic</v>
      </c>
    </row>
    <row r="6" spans="1:10" x14ac:dyDescent="0.25">
      <c r="A6" s="15" t="str">
        <f>=Dashboard!A74</f>
        <v>TASK-FE-014</v>
      </c>
      <c r="B6" s="9" t="str">
        <f>=Dashboard!C74</f>
        <v>Staff Dashboard UI</v>
      </c>
      <c r="C6" s="9" t="str">
        <f>=Dashboard!D74</f>
        <v>Adithyan N</v>
      </c>
      <c r="D6" s="15" t="str">
        <f>=Dashboard!E74</f>
        <v>High</v>
      </c>
      <c r="E6" s="15" t="str">
        <f>=Dashboard!I74</f>
        <v>TASK-FE-006</v>
      </c>
      <c r="F6" s="15" t="str">
        <f>=Dashboard!F74</f>
        <v>Not Started</v>
      </c>
      <c r="G6" s="9" t="s">
        <v>428</v>
      </c>
      <c r="H6" s="15" t="s">
        <v>106</v>
      </c>
      <c r="I6" s="15" t="s">
        <v>106</v>
      </c>
      <c r="J6" s="9" t="str">
        <f>=Dashboard!L74</f>
        <v>Workspace console for employees</v>
      </c>
    </row>
    <row r="7" spans="1:10" x14ac:dyDescent="0.25">
      <c r="A7" s="13" t="str">
        <f>=Dashboard!A75</f>
        <v>TASK-FE-015</v>
      </c>
      <c r="B7" s="6" t="str">
        <f>=Dashboard!C75</f>
        <v>Attendance UI</v>
      </c>
      <c r="C7" s="6" t="str">
        <f>=Dashboard!D75</f>
        <v>Adithyan N</v>
      </c>
      <c r="D7" s="13" t="str">
        <f>=Dashboard!E75</f>
        <v>High</v>
      </c>
      <c r="E7" s="13" t="str">
        <f>=Dashboard!I75</f>
        <v>TASK-FE-014</v>
      </c>
      <c r="F7" s="13" t="str">
        <f>=Dashboard!F75</f>
        <v>Not Started</v>
      </c>
      <c r="G7" s="6" t="s">
        <v>429</v>
      </c>
      <c r="H7" s="13" t="s">
        <v>106</v>
      </c>
      <c r="I7" s="13" t="s">
        <v>106</v>
      </c>
      <c r="J7" s="6" t="str">
        <f>=Dashboard!L75</f>
        <v>Liveness prompt overlay layout</v>
      </c>
    </row>
    <row r="8" spans="1:10" x14ac:dyDescent="0.25">
      <c r="A8" s="15" t="str">
        <f>=Dashboard!A76</f>
        <v>TASK-FE-016</v>
      </c>
      <c r="B8" s="9" t="str">
        <f>=Dashboard!C76</f>
        <v>Chatbot UI</v>
      </c>
      <c r="C8" s="9" t="str">
        <f>=Dashboard!D76</f>
        <v>Adithyan N</v>
      </c>
      <c r="D8" s="15" t="str">
        <f>=Dashboard!E76</f>
        <v>Medium</v>
      </c>
      <c r="E8" s="15" t="str">
        <f>=Dashboard!I76</f>
        <v>TASK-FE-008</v>
      </c>
      <c r="F8" s="15" t="str">
        <f>=Dashboard!F76</f>
        <v>Not Started</v>
      </c>
      <c r="G8" s="9" t="s">
        <v>430</v>
      </c>
      <c r="H8" s="15" t="s">
        <v>106</v>
      </c>
      <c r="I8" s="15" t="s">
        <v>64</v>
      </c>
      <c r="J8" s="9" t="str">
        <f>=Dashboard!L76</f>
        <v>Gemini assistant layout UI</v>
      </c>
    </row>
    <row r="9" spans="1:10" x14ac:dyDescent="0.25">
      <c r="A9" s="13" t="str">
        <f>=Dashboard!A85</f>
        <v>TASK-AI-001</v>
      </c>
      <c r="B9" s="6" t="str">
        <f>=Dashboard!C85</f>
        <v>Gemini integration</v>
      </c>
      <c r="C9" s="6" t="str">
        <f>=Dashboard!D85</f>
        <v>Muhammed Sadik KT</v>
      </c>
      <c r="D9" s="13" t="str">
        <f>=Dashboard!E85</f>
        <v>High</v>
      </c>
      <c r="E9" s="13" t="str">
        <f>=Dashboard!I85</f>
        <v>None</v>
      </c>
      <c r="F9" s="13" t="str">
        <f>=Dashboard!F85</f>
        <v>Not Started</v>
      </c>
      <c r="G9" s="6" t="s">
        <v>431</v>
      </c>
      <c r="H9" s="13" t="s">
        <v>106</v>
      </c>
      <c r="I9" s="13" t="s">
        <v>106</v>
      </c>
      <c r="J9" s="6" t="str">
        <f>=Dashboard!L85</f>
        <v>RAG context grounding middleware</v>
      </c>
    </row>
    <row r="10" spans="1:10" x14ac:dyDescent="0.25">
      <c r="A10" s="15" t="str">
        <f>=Dashboard!A86</f>
        <v>TASK-AI-002</v>
      </c>
      <c r="B10" s="9" t="str">
        <f>=Dashboard!C86</f>
        <v>Prompt engineering</v>
      </c>
      <c r="C10" s="9" t="str">
        <f>=Dashboard!D86</f>
        <v>Muhammed Sadik KT</v>
      </c>
      <c r="D10" s="15" t="str">
        <f>=Dashboard!E86</f>
        <v>Medium</v>
      </c>
      <c r="E10" s="15" t="str">
        <f>=Dashboard!I86</f>
        <v>TASK-AI-001</v>
      </c>
      <c r="F10" s="15" t="str">
        <f>=Dashboard!F86</f>
        <v>Not Started</v>
      </c>
      <c r="G10" s="9" t="s">
        <v>432</v>
      </c>
      <c r="H10" s="15" t="s">
        <v>106</v>
      </c>
      <c r="I10" s="15" t="s">
        <v>64</v>
      </c>
      <c r="J10" s="9" t="str">
        <f>=Dashboard!L86</f>
        <v>Strict grounding bounds</v>
      </c>
    </row>
    <row r="11" spans="1:10" x14ac:dyDescent="0.25">
      <c r="A11" s="13" t="str">
        <f>=Dashboard!A87</f>
        <v>TASK-AI-003</v>
      </c>
      <c r="B11" s="6" t="str">
        <f>=Dashboard!C87</f>
        <v>Chatbot API</v>
      </c>
      <c r="C11" s="6" t="str">
        <f>=Dashboard!D87</f>
        <v>Muhammed Sadik KT</v>
      </c>
      <c r="D11" s="13" t="str">
        <f>=Dashboard!E87</f>
        <v>High</v>
      </c>
      <c r="E11" s="13" t="str">
        <f>=Dashboard!I87</f>
        <v>TASK-AI-001</v>
      </c>
      <c r="F11" s="13" t="str">
        <f>=Dashboard!F87</f>
        <v>Not Started</v>
      </c>
      <c r="G11" s="6" t="s">
        <v>433</v>
      </c>
      <c r="H11" s="13" t="s">
        <v>106</v>
      </c>
      <c r="I11" s="13" t="s">
        <v>106</v>
      </c>
      <c r="J11" s="6" t="str">
        <f>=Dashboard!L87</f>
        <v>Logs sessions to chatbot DB logs</v>
      </c>
    </row>
    <row r="12" spans="1:10" x14ac:dyDescent="0.25">
      <c r="A12" s="15" t="str">
        <f>=Dashboard!A90</f>
        <v>TASK-AI-006</v>
      </c>
      <c r="B12" s="9" t="str">
        <f>=Dashboard!C90</f>
        <v>Face recognition core</v>
      </c>
      <c r="C12" s="9" t="str">
        <f>=Dashboard!D90</f>
        <v>Muhammed Sadik KT</v>
      </c>
      <c r="D12" s="15" t="str">
        <f>=Dashboard!E90</f>
        <v>Critical</v>
      </c>
      <c r="E12" s="15" t="str">
        <f>=Dashboard!I90</f>
        <v>None</v>
      </c>
      <c r="F12" s="15" t="str">
        <f>=Dashboard!F90</f>
        <v>Not Started</v>
      </c>
      <c r="G12" s="9" t="s">
        <v>434</v>
      </c>
      <c r="H12" s="15" t="s">
        <v>106</v>
      </c>
      <c r="I12" s="15" t="s">
        <v>106</v>
      </c>
      <c r="J12" s="9" t="str">
        <f>=Dashboard!L90</f>
        <v>Volatile memory calculations</v>
      </c>
    </row>
    <row r="13" spans="1:10" x14ac:dyDescent="0.25">
      <c r="A13" s="13" t="str">
        <f>=Dashboard!A91</f>
        <v>TASK-AI-007</v>
      </c>
      <c r="B13" s="6" t="str">
        <f>=Dashboard!C91</f>
        <v>Attendance recognition service</v>
      </c>
      <c r="C13" s="6" t="str">
        <f>=Dashboard!D91</f>
        <v>Muhammed Sadik KT</v>
      </c>
      <c r="D13" s="13" t="str">
        <f>=Dashboard!E91</f>
        <v>High</v>
      </c>
      <c r="E13" s="13" t="str">
        <f>=Dashboard!I91</f>
        <v>TASK-AI-006</v>
      </c>
      <c r="F13" s="13" t="str">
        <f>=Dashboard!F91</f>
        <v>Not Started</v>
      </c>
      <c r="G13" s="6" t="s">
        <v>435</v>
      </c>
      <c r="H13" s="13" t="s">
        <v>106</v>
      </c>
      <c r="I13" s="13" t="s">
        <v>106</v>
      </c>
      <c r="J13" s="6" t="str">
        <f>=Dashboard!L91</f>
        <v>Liveness score validation criteria check</v>
      </c>
    </row>
    <row r="14" spans="1:10" x14ac:dyDescent="0.25">
      <c r="A14" s="15" t="str">
        <f>=Dashboard!A94</f>
        <v>TASK-FR-001</v>
      </c>
      <c r="B14" s="9" t="str">
        <f>=Dashboard!C94</f>
        <v>Dataset Collection</v>
      </c>
      <c r="C14" s="9" t="str">
        <f>=Dashboard!D94</f>
        <v>Fadi Ahmed</v>
      </c>
      <c r="D14" s="15" t="str">
        <f>=Dashboard!E94</f>
        <v>Medium</v>
      </c>
      <c r="E14" s="15" t="str">
        <f>=Dashboard!I94</f>
        <v>None</v>
      </c>
      <c r="F14" s="15" t="str">
        <f>=Dashboard!F94</f>
        <v>Not Started</v>
      </c>
      <c r="G14" s="9" t="s">
        <v>436</v>
      </c>
      <c r="H14" s="15" t="s">
        <v>106</v>
      </c>
      <c r="I14" s="15" t="s">
        <v>106</v>
      </c>
      <c r="J14" s="9" t="str">
        <f>=Dashboard!L94</f>
        <v>No images checked in repository</v>
      </c>
    </row>
    <row r="15" spans="1:10" x14ac:dyDescent="0.25">
      <c r="A15" s="13" t="str">
        <f>=Dashboard!A95</f>
        <v>TASK-FR-002</v>
      </c>
      <c r="B15" s="6" t="str">
        <f>=Dashboard!C95</f>
        <v>Prototype Refinement</v>
      </c>
      <c r="C15" s="6" t="str">
        <f>=Dashboard!D95</f>
        <v>Fadi Ahmed</v>
      </c>
      <c r="D15" s="13" t="str">
        <f>=Dashboard!E95</f>
        <v>High</v>
      </c>
      <c r="E15" s="13" t="str">
        <f>=Dashboard!I95</f>
        <v>TASK-AI-006</v>
      </c>
      <c r="F15" s="13" t="str">
        <f>=Dashboard!F95</f>
        <v>Not Started</v>
      </c>
      <c r="G15" s="6" t="s">
        <v>437</v>
      </c>
      <c r="H15" s="13" t="s">
        <v>106</v>
      </c>
      <c r="I15" s="13" t="s">
        <v>106</v>
      </c>
      <c r="J15" s="6" t="str">
        <f>=Dashboard!L95</f>
        <v>Anti-spoofing tests calibration</v>
      </c>
    </row>
    <row r="16" spans="1:10" x14ac:dyDescent="0.25">
      <c r="A16" s="15" t="str">
        <f>=Dashboard!A96</f>
        <v>TASK-FR-003</v>
      </c>
      <c r="B16" s="9" t="str">
        <f>=Dashboard!C96</f>
        <v>Camera Integration Testing</v>
      </c>
      <c r="C16" s="9" t="str">
        <f>=Dashboard!D96</f>
        <v>Fadi Ahmed</v>
      </c>
      <c r="D16" s="15" t="str">
        <f>=Dashboard!E96</f>
        <v>Medium</v>
      </c>
      <c r="E16" s="15" t="str">
        <f>=Dashboard!I96</f>
        <v>None</v>
      </c>
      <c r="F16" s="15" t="str">
        <f>=Dashboard!F96</f>
        <v>Not Started</v>
      </c>
      <c r="G16" s="9" t="s">
        <v>438</v>
      </c>
      <c r="H16" s="15" t="s">
        <v>106</v>
      </c>
      <c r="I16" s="15" t="s">
        <v>106</v>
      </c>
      <c r="J16" s="9" t="str">
        <f>=Dashboard!L96</f>
        <v>Confirm permissions logic</v>
      </c>
    </row>
    <row r="17" spans="1:10" x14ac:dyDescent="0.25">
      <c r="A17" s="13" t="str">
        <f>=Dashboard!A100</f>
        <v>TASK-FR-007</v>
      </c>
      <c r="B17" s="6" t="str">
        <f>=Dashboard!C100</f>
        <v>Scanner UI Review</v>
      </c>
      <c r="C17" s="6" t="str">
        <f>=Dashboard!D100</f>
        <v>Fadi Ahmed</v>
      </c>
      <c r="D17" s="13" t="str">
        <f>=Dashboard!E100</f>
        <v>Medium</v>
      </c>
      <c r="E17" s="13" t="str">
        <f>=Dashboard!I100</f>
        <v>None</v>
      </c>
      <c r="F17" s="13" t="str">
        <f>=Dashboard!F100</f>
        <v>Not Started</v>
      </c>
      <c r="G17" s="6" t="s">
        <v>439</v>
      </c>
      <c r="H17" s="13" t="s">
        <v>106</v>
      </c>
      <c r="I17" s="13" t="s">
        <v>64</v>
      </c>
      <c r="J17" s="6" t="str">
        <f>=Dashboard!L100</f>
        <v>UI responsiveness check</v>
      </c>
    </row>
    <row r="18" spans="1:10" x14ac:dyDescent="0.25">
      <c r="A18" s="15" t="str">
        <f>=Dashboard!A102</f>
        <v>TASK-FR-009</v>
      </c>
      <c r="B18" s="9" t="str">
        <f>=Dashboard!C102</f>
        <v>Camera Permission Testing</v>
      </c>
      <c r="C18" s="9" t="str">
        <f>=Dashboard!D102</f>
        <v>Fadi Ahmed</v>
      </c>
      <c r="D18" s="15" t="str">
        <f>=Dashboard!E102</f>
        <v>Medium</v>
      </c>
      <c r="E18" s="15" t="str">
        <f>=Dashboard!I102</f>
        <v>TASK-FR-003</v>
      </c>
      <c r="F18" s="15" t="str">
        <f>=Dashboard!F102</f>
        <v>Not Started</v>
      </c>
      <c r="G18" s="9" t="s">
        <v>440</v>
      </c>
      <c r="H18" s="15" t="s">
        <v>106</v>
      </c>
      <c r="I18" s="15" t="s">
        <v>106</v>
      </c>
      <c r="J18" s="9" t="str">
        <f>=Dashboard!L102</f>
        <v>Checks fallback options</v>
      </c>
    </row>
  </sheetData>
  <autoFilter ref="A2:J18"/>
  <mergeCells count="1">
    <mergeCell ref="A1:J1"/>
  </mergeCells>
  <conditionalFormatting sqref="F3:F18">
    <cfRule type="cellIs" dxfId="45" priority="1" operator="equal">
      <formula>"Completed"</formula>
    </cfRule>
    <cfRule type="cellIs" dxfId="46" priority="2" operator="equal">
      <formula>"In Progress"</formula>
    </cfRule>
    <cfRule type="cellIs" dxfId="47" priority="3" operator="equal">
      <formula>"Review"</formula>
    </cfRule>
    <cfRule type="cellIs" dxfId="48" priority="4" operator="equal">
      <formula>"Blocked"</formula>
    </cfRule>
    <cfRule type="cellIs" dxfId="49" priority="5" operator="equal">
      <formula>"Not Started"</formula>
    </cfRule>
  </conditionalFormatting>
  <conditionalFormatting sqref="D3:D18">
    <cfRule type="cellIs" dxfId="50" priority="6" operator="equal">
      <formula>"Critical"</formula>
    </cfRule>
    <cfRule type="cellIs" dxfId="51" priority="7" operator="equal">
      <formula>"High"</formula>
    </cfRule>
    <cfRule type="cellIs" dxfId="52" priority="8" operator="equal">
      <formula>"Medium"</formula>
    </cfRule>
    <cfRule type="cellIs" dxfId="53" priority="9" operator="equal">
      <formula>"Low"</formula>
    </cfRule>
  </conditionalFormatting>
  <dataValidations count="4">
    <dataValidation type="list" allowBlank="1" sqref="D10:D18">
      <formula1>"Critical,High,Medium,Low"</formula1>
    </dataValidation>
    <dataValidation type="list" allowBlank="1" sqref="D3:D18">
      <formula1>"Critical,High,Medium,Low"</formula1>
    </dataValidation>
    <dataValidation type="list" allowBlank="1" sqref="F10:F18">
      <formula1>"Not Started,In Progress,Review,Completed,Blocked"</formula1>
    </dataValidation>
    <dataValidation type="list" allowBlank="1" sqref="F3:F18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441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43</v>
      </c>
      <c r="B2" s="12" t="s">
        <v>45</v>
      </c>
      <c r="C2" s="12" t="s">
        <v>46</v>
      </c>
      <c r="D2" s="12" t="s">
        <v>47</v>
      </c>
      <c r="E2" s="12" t="s">
        <v>51</v>
      </c>
      <c r="F2" s="12" t="s">
        <v>48</v>
      </c>
      <c r="G2" s="12" t="s">
        <v>366</v>
      </c>
      <c r="H2" s="12" t="s">
        <v>367</v>
      </c>
      <c r="I2" s="12" t="s">
        <v>368</v>
      </c>
      <c r="J2" s="12" t="s">
        <v>54</v>
      </c>
    </row>
    <row r="3" spans="1:10" x14ac:dyDescent="0.25">
      <c r="A3" s="13" t="str">
        <f>=Dashboard!A34</f>
        <v>TASK-DB-010</v>
      </c>
      <c r="B3" s="6" t="str">
        <f>=Dashboard!C34</f>
        <v>Notification schema</v>
      </c>
      <c r="C3" s="6" t="str">
        <f>=Dashboard!D34</f>
        <v>Fathima Hana</v>
      </c>
      <c r="D3" s="13" t="str">
        <f>=Dashboard!E34</f>
        <v>Medium</v>
      </c>
      <c r="E3" s="13" t="str">
        <f>=Dashboard!I34</f>
        <v>TASK-DB-001</v>
      </c>
      <c r="F3" s="13" t="str">
        <f>=Dashboard!F34</f>
        <v>Not Started</v>
      </c>
      <c r="G3" s="6" t="s">
        <v>442</v>
      </c>
      <c r="H3" s="13" t="s">
        <v>106</v>
      </c>
      <c r="I3" s="13" t="s">
        <v>64</v>
      </c>
      <c r="J3" s="6" t="str">
        <f>=Dashboard!L34</f>
        <v>Support: Adithyan N. Unread indicators</v>
      </c>
    </row>
    <row r="4" spans="1:10" x14ac:dyDescent="0.25">
      <c r="A4" s="15" t="str">
        <f>=Dashboard!A35</f>
        <v>TASK-DB-011</v>
      </c>
      <c r="B4" s="9" t="str">
        <f>=Dashboard!C35</f>
        <v>Audit log schema</v>
      </c>
      <c r="C4" s="9" t="str">
        <f>=Dashboard!D35</f>
        <v>Fathima Hana</v>
      </c>
      <c r="D4" s="15" t="str">
        <f>=Dashboard!E35</f>
        <v>High</v>
      </c>
      <c r="E4" s="15" t="str">
        <f>=Dashboard!I35</f>
        <v>TASK-DB-001</v>
      </c>
      <c r="F4" s="15" t="str">
        <f>=Dashboard!F35</f>
        <v>Not Started</v>
      </c>
      <c r="G4" s="9" t="s">
        <v>443</v>
      </c>
      <c r="H4" s="15" t="s">
        <v>106</v>
      </c>
      <c r="I4" s="15" t="s">
        <v>106</v>
      </c>
      <c r="J4" s="9" t="str">
        <f>=Dashboard!L35</f>
        <v>Support: Adithyan N. Strict immutability controls</v>
      </c>
    </row>
    <row r="5" spans="1:10" x14ac:dyDescent="0.25">
      <c r="A5" s="13" t="str">
        <f>=Dashboard!A49</f>
        <v>TASK-BE-009</v>
      </c>
      <c r="B5" s="6" t="str">
        <f>=Dashboard!C49</f>
        <v>Audit logging</v>
      </c>
      <c r="C5" s="6" t="str">
        <f>=Dashboard!D49</f>
        <v>Muhammad Sanish</v>
      </c>
      <c r="D5" s="13" t="str">
        <f>=Dashboard!E49</f>
        <v>High</v>
      </c>
      <c r="E5" s="13" t="str">
        <f>=Dashboard!I49</f>
        <v>TASK-BE-002</v>
      </c>
      <c r="F5" s="13" t="str">
        <f>=Dashboard!F49</f>
        <v>Not Started</v>
      </c>
      <c r="G5" s="6" t="s">
        <v>444</v>
      </c>
      <c r="H5" s="13" t="s">
        <v>106</v>
      </c>
      <c r="I5" s="13" t="s">
        <v>106</v>
      </c>
      <c r="J5" s="6" t="str">
        <f>=Dashboard!L49</f>
        <v>Writes directly to audit_logs collection</v>
      </c>
    </row>
    <row r="6" spans="1:10" x14ac:dyDescent="0.25">
      <c r="A6" s="15" t="str">
        <f>=Dashboard!A56</f>
        <v>TASK-BE-016</v>
      </c>
      <c r="B6" s="9" t="str">
        <f>=Dashboard!C56</f>
        <v>Admin APIs</v>
      </c>
      <c r="C6" s="9" t="str">
        <f>=Dashboard!D56</f>
        <v>Muhammad Sanish</v>
      </c>
      <c r="D6" s="15" t="str">
        <f>=Dashboard!E56</f>
        <v>High</v>
      </c>
      <c r="E6" s="15" t="str">
        <f>=Dashboard!I56</f>
        <v>TASK-BE-008</v>
      </c>
      <c r="F6" s="15" t="str">
        <f>=Dashboard!F56</f>
        <v>Not Started</v>
      </c>
      <c r="G6" s="9" t="s">
        <v>445</v>
      </c>
      <c r="H6" s="15" t="s">
        <v>106</v>
      </c>
      <c r="I6" s="15" t="s">
        <v>106</v>
      </c>
      <c r="J6" s="9" t="str">
        <f>=Dashboard!L56</f>
        <v>Enforces strict Admin role checks</v>
      </c>
    </row>
    <row r="7" spans="1:10" x14ac:dyDescent="0.25">
      <c r="A7" s="13" t="str">
        <f>=Dashboard!A57</f>
        <v>TASK-BE-017</v>
      </c>
      <c r="B7" s="6" t="str">
        <f>=Dashboard!C57</f>
        <v>Notification APIs</v>
      </c>
      <c r="C7" s="6" t="str">
        <f>=Dashboard!D57</f>
        <v>Muhammad Sanish</v>
      </c>
      <c r="D7" s="13" t="str">
        <f>=Dashboard!E57</f>
        <v>Medium</v>
      </c>
      <c r="E7" s="13" t="str">
        <f>=Dashboard!I57</f>
        <v>TASK-BE-001</v>
      </c>
      <c r="F7" s="13" t="str">
        <f>=Dashboard!F57</f>
        <v>Not Started</v>
      </c>
      <c r="G7" s="6" t="s">
        <v>446</v>
      </c>
      <c r="H7" s="13" t="s">
        <v>106</v>
      </c>
      <c r="I7" s="13" t="s">
        <v>64</v>
      </c>
      <c r="J7" s="6" t="str">
        <f>=Dashboard!L57</f>
        <v>System alert logs generation</v>
      </c>
    </row>
    <row r="8" spans="1:10" x14ac:dyDescent="0.25">
      <c r="A8" s="15" t="str">
        <f>=Dashboard!A60</f>
        <v>TASK-BE-020</v>
      </c>
      <c r="B8" s="9" t="str">
        <f>=Dashboard!C60</f>
        <v>API documentation</v>
      </c>
      <c r="C8" s="9" t="str">
        <f>=Dashboard!D60</f>
        <v>Muhammad Sanish</v>
      </c>
      <c r="D8" s="15" t="str">
        <f>=Dashboard!E60</f>
        <v>Medium</v>
      </c>
      <c r="E8" s="15" t="str">
        <f>=Dashboard!I60</f>
        <v>TASK-BE-001</v>
      </c>
      <c r="F8" s="15" t="str">
        <f>=Dashboard!F60</f>
        <v>Not Started</v>
      </c>
      <c r="G8" s="9" t="s">
        <v>447</v>
      </c>
      <c r="H8" s="15" t="s">
        <v>106</v>
      </c>
      <c r="I8" s="15" t="s">
        <v>64</v>
      </c>
      <c r="J8" s="9" t="str">
        <f>=Dashboard!L60</f>
        <v>Complete document of schema request bodies</v>
      </c>
    </row>
    <row r="9" spans="1:10" x14ac:dyDescent="0.25">
      <c r="A9" s="13" t="str">
        <f>=Dashboard!A77</f>
        <v>TASK-FE-017</v>
      </c>
      <c r="B9" s="6" t="str">
        <f>=Dashboard!C77</f>
        <v>Admin Dashboard UI</v>
      </c>
      <c r="C9" s="6" t="str">
        <f>=Dashboard!D77</f>
        <v>Adithyan N</v>
      </c>
      <c r="D9" s="13" t="str">
        <f>=Dashboard!E77</f>
        <v>High</v>
      </c>
      <c r="E9" s="13" t="str">
        <f>=Dashboard!I77</f>
        <v>TASK-FE-006</v>
      </c>
      <c r="F9" s="13" t="str">
        <f>=Dashboard!F77</f>
        <v>Not Started</v>
      </c>
      <c r="G9" s="6" t="s">
        <v>448</v>
      </c>
      <c r="H9" s="13" t="s">
        <v>106</v>
      </c>
      <c r="I9" s="13" t="s">
        <v>106</v>
      </c>
      <c r="J9" s="6" t="str">
        <f>=Dashboard!L77</f>
        <v>SLA thresholds controller views</v>
      </c>
    </row>
    <row r="10" spans="1:10" x14ac:dyDescent="0.25">
      <c r="A10" s="15" t="str">
        <f>=Dashboard!A78</f>
        <v>TASK-FE-018</v>
      </c>
      <c r="B10" s="9" t="str">
        <f>=Dashboard!C78</f>
        <v>Notifications UI</v>
      </c>
      <c r="C10" s="9" t="str">
        <f>=Dashboard!D78</f>
        <v>Adithyan N</v>
      </c>
      <c r="D10" s="15" t="str">
        <f>=Dashboard!E78</f>
        <v>Medium</v>
      </c>
      <c r="E10" s="15" t="str">
        <f>=Dashboard!I78</f>
        <v>TASK-FE-008</v>
      </c>
      <c r="F10" s="15" t="str">
        <f>=Dashboard!F78</f>
        <v>Not Started</v>
      </c>
      <c r="G10" s="9" t="s">
        <v>449</v>
      </c>
      <c r="H10" s="15" t="s">
        <v>106</v>
      </c>
      <c r="I10" s="15" t="s">
        <v>64</v>
      </c>
      <c r="J10" s="9" t="str">
        <f>=Dashboard!L78</f>
        <v>Toast popups integrations</v>
      </c>
    </row>
    <row r="11" spans="1:10" x14ac:dyDescent="0.25">
      <c r="A11" s="13" t="str">
        <f>=Dashboard!A81</f>
        <v>TASK-FE-021</v>
      </c>
      <c r="B11" s="6" t="str">
        <f>=Dashboard!C81</f>
        <v>Frontend API integration</v>
      </c>
      <c r="C11" s="6" t="str">
        <f>=Dashboard!D81</f>
        <v>Adithyan N</v>
      </c>
      <c r="D11" s="13" t="str">
        <f>=Dashboard!E81</f>
        <v>High</v>
      </c>
      <c r="E11" s="13" t="str">
        <f>=Dashboard!I81</f>
        <v>TASK-FE-008</v>
      </c>
      <c r="F11" s="13" t="str">
        <f>=Dashboard!F81</f>
        <v>Not Started</v>
      </c>
      <c r="G11" s="6" t="s">
        <v>450</v>
      </c>
      <c r="H11" s="13" t="s">
        <v>106</v>
      </c>
      <c r="I11" s="13" t="s">
        <v>106</v>
      </c>
      <c r="J11" s="6" t="str">
        <f>=Dashboard!L81</f>
        <v>Integration mapping verified</v>
      </c>
    </row>
    <row r="12" spans="1:10" x14ac:dyDescent="0.25">
      <c r="A12" s="15" t="str">
        <f>=Dashboard!A88</f>
        <v>TASK-AI-004</v>
      </c>
      <c r="B12" s="9" t="str">
        <f>=Dashboard!C88</f>
        <v>OCR service</v>
      </c>
      <c r="C12" s="9" t="str">
        <f>=Dashboard!D88</f>
        <v>Muhammed Sadik KT</v>
      </c>
      <c r="D12" s="15" t="str">
        <f>=Dashboard!E88</f>
        <v>Medium</v>
      </c>
      <c r="E12" s="15" t="str">
        <f>=Dashboard!I88</f>
        <v>None</v>
      </c>
      <c r="F12" s="15" t="str">
        <f>=Dashboard!F88</f>
        <v>Not Started</v>
      </c>
      <c r="G12" s="9" t="s">
        <v>451</v>
      </c>
      <c r="H12" s="15" t="s">
        <v>106</v>
      </c>
      <c r="I12" s="15" t="s">
        <v>106</v>
      </c>
      <c r="J12" s="9" t="str">
        <f>=Dashboard!L88</f>
        <v>Sandbox process execution setup</v>
      </c>
    </row>
    <row r="13" spans="1:10" x14ac:dyDescent="0.25">
      <c r="A13" s="13" t="str">
        <f>=Dashboard!A89</f>
        <v>TASK-AI-005</v>
      </c>
      <c r="B13" s="6" t="str">
        <f>=Dashboard!C89</f>
        <v>OCR validation</v>
      </c>
      <c r="C13" s="6" t="str">
        <f>=Dashboard!D89</f>
        <v>Muhammed Sadik KT</v>
      </c>
      <c r="D13" s="13" t="str">
        <f>=Dashboard!E89</f>
        <v>Medium</v>
      </c>
      <c r="E13" s="13" t="str">
        <f>=Dashboard!I89</f>
        <v>TASK-AI-004</v>
      </c>
      <c r="F13" s="13" t="str">
        <f>=Dashboard!F89</f>
        <v>Not Started</v>
      </c>
      <c r="G13" s="6" t="s">
        <v>452</v>
      </c>
      <c r="H13" s="13" t="s">
        <v>106</v>
      </c>
      <c r="I13" s="13" t="s">
        <v>106</v>
      </c>
      <c r="J13" s="6" t="str">
        <f>=Dashboard!L89</f>
        <v>Verify metadata matching limits</v>
      </c>
    </row>
    <row r="14" spans="1:10" x14ac:dyDescent="0.25">
      <c r="A14" s="15" t="str">
        <f>=Dashboard!A92</f>
        <v>TASK-AI-008</v>
      </c>
      <c r="B14" s="9" t="str">
        <f>=Dashboard!C92</f>
        <v>AI testing</v>
      </c>
      <c r="C14" s="9" t="str">
        <f>=Dashboard!D92</f>
        <v>Muhammed Sadik KT</v>
      </c>
      <c r="D14" s="15" t="str">
        <f>=Dashboard!E92</f>
        <v>Medium</v>
      </c>
      <c r="E14" s="15" t="str">
        <f>=Dashboard!I92</f>
        <v>TASK-AI-007</v>
      </c>
      <c r="F14" s="15" t="str">
        <f>=Dashboard!F92</f>
        <v>Not Started</v>
      </c>
      <c r="G14" s="9" t="s">
        <v>453</v>
      </c>
      <c r="H14" s="15" t="s">
        <v>106</v>
      </c>
      <c r="I14" s="15" t="s">
        <v>106</v>
      </c>
      <c r="J14" s="9" t="str">
        <f>=Dashboard!L92</f>
        <v>Checks accuracy scales</v>
      </c>
    </row>
    <row r="15" spans="1:10" x14ac:dyDescent="0.25">
      <c r="A15" s="13" t="str">
        <f>=Dashboard!A93</f>
        <v>TASK-AI-009</v>
      </c>
      <c r="B15" s="6" t="str">
        <f>=Dashboard!C93</f>
        <v>Response optimization</v>
      </c>
      <c r="C15" s="6" t="str">
        <f>=Dashboard!D93</f>
        <v>Muhammed Sadik KT</v>
      </c>
      <c r="D15" s="13" t="str">
        <f>=Dashboard!E93</f>
        <v>Medium</v>
      </c>
      <c r="E15" s="13" t="str">
        <f>=Dashboard!I93</f>
        <v>TASK-AI-002</v>
      </c>
      <c r="F15" s="13" t="str">
        <f>=Dashboard!F93</f>
        <v>Not Started</v>
      </c>
      <c r="G15" s="6" t="s">
        <v>454</v>
      </c>
      <c r="H15" s="13" t="s">
        <v>106</v>
      </c>
      <c r="I15" s="13" t="s">
        <v>64</v>
      </c>
      <c r="J15" s="6" t="str">
        <f>=Dashboard!L93</f>
        <v>RAG search optimizations</v>
      </c>
    </row>
    <row r="16" spans="1:10" x14ac:dyDescent="0.25">
      <c r="A16" s="15" t="str">
        <f>=Dashboard!A97</f>
        <v>TASK-FR-004</v>
      </c>
      <c r="B16" s="9" t="str">
        <f>=Dashboard!C97</f>
        <v>Attendance Workflow Testing</v>
      </c>
      <c r="C16" s="9" t="str">
        <f>=Dashboard!D97</f>
        <v>Fadi Ahmed</v>
      </c>
      <c r="D16" s="15" t="str">
        <f>=Dashboard!E97</f>
        <v>High</v>
      </c>
      <c r="E16" s="15" t="str">
        <f>=Dashboard!I97</f>
        <v>TASK-FR-003</v>
      </c>
      <c r="F16" s="15" t="str">
        <f>=Dashboard!F97</f>
        <v>Not Started</v>
      </c>
      <c r="G16" s="9" t="s">
        <v>455</v>
      </c>
      <c r="H16" s="15" t="s">
        <v>106</v>
      </c>
      <c r="I16" s="15" t="s">
        <v>106</v>
      </c>
      <c r="J16" s="9" t="str">
        <f>=Dashboard!L97</f>
        <v>Strict consent checker gating attendance validation</v>
      </c>
    </row>
    <row r="17" spans="1:10" x14ac:dyDescent="0.25">
      <c r="A17" s="13" t="str">
        <f>=Dashboard!A98</f>
        <v>TASK-FR-005</v>
      </c>
      <c r="B17" s="6" t="str">
        <f>=Dashboard!C98</f>
        <v>Recognition Accuracy Testing</v>
      </c>
      <c r="C17" s="6" t="str">
        <f>=Dashboard!D98</f>
        <v>Fadi Ahmed</v>
      </c>
      <c r="D17" s="13" t="str">
        <f>=Dashboard!E98</f>
        <v>High</v>
      </c>
      <c r="E17" s="13" t="str">
        <f>=Dashboard!I98</f>
        <v>TASK-FR-002</v>
      </c>
      <c r="F17" s="13" t="str">
        <f>=Dashboard!F98</f>
        <v>Not Started</v>
      </c>
      <c r="G17" s="6" t="s">
        <v>456</v>
      </c>
      <c r="H17" s="13" t="s">
        <v>106</v>
      </c>
      <c r="I17" s="13" t="s">
        <v>106</v>
      </c>
      <c r="J17" s="6" t="str">
        <f>=Dashboard!L98</f>
        <v>Audits against spoof attacks</v>
      </c>
    </row>
    <row r="18" spans="1:10" x14ac:dyDescent="0.25">
      <c r="A18" s="15" t="str">
        <f>=Dashboard!A105</f>
        <v>TASK-QA-003</v>
      </c>
      <c r="B18" s="9" t="str">
        <f>=Dashboard!C105</f>
        <v>UAT preparation</v>
      </c>
      <c r="C18" s="9" t="str">
        <f>=Dashboard!D105</f>
        <v>Minha Palakkathodi</v>
      </c>
      <c r="D18" s="15" t="str">
        <f>=Dashboard!E105</f>
        <v>High</v>
      </c>
      <c r="E18" s="15" t="str">
        <f>=Dashboard!I105</f>
        <v>None</v>
      </c>
      <c r="F18" s="15" t="str">
        <f>=Dashboard!F105</f>
        <v>Not Started</v>
      </c>
      <c r="G18" s="9" t="s">
        <v>457</v>
      </c>
      <c r="H18" s="15" t="s">
        <v>64</v>
      </c>
      <c r="I18" s="15" t="s">
        <v>64</v>
      </c>
      <c r="J18" s="9" t="str">
        <f>=Dashboard!L105</f>
        <v>Acceptance checklist templates</v>
      </c>
    </row>
  </sheetData>
  <autoFilter ref="A2:J18"/>
  <mergeCells count="1">
    <mergeCell ref="A1:J1"/>
  </mergeCells>
  <conditionalFormatting sqref="F3:F18">
    <cfRule type="cellIs" dxfId="54" priority="1" operator="equal">
      <formula>"Completed"</formula>
    </cfRule>
    <cfRule type="cellIs" dxfId="55" priority="2" operator="equal">
      <formula>"In Progress"</formula>
    </cfRule>
    <cfRule type="cellIs" dxfId="56" priority="3" operator="equal">
      <formula>"Review"</formula>
    </cfRule>
    <cfRule type="cellIs" dxfId="57" priority="4" operator="equal">
      <formula>"Blocked"</formula>
    </cfRule>
    <cfRule type="cellIs" dxfId="58" priority="5" operator="equal">
      <formula>"Not Started"</formula>
    </cfRule>
  </conditionalFormatting>
  <conditionalFormatting sqref="D3:D18">
    <cfRule type="cellIs" dxfId="59" priority="6" operator="equal">
      <formula>"Critical"</formula>
    </cfRule>
    <cfRule type="cellIs" dxfId="60" priority="7" operator="equal">
      <formula>"High"</formula>
    </cfRule>
    <cfRule type="cellIs" dxfId="61" priority="8" operator="equal">
      <formula>"Medium"</formula>
    </cfRule>
    <cfRule type="cellIs" dxfId="62" priority="9" operator="equal">
      <formula>"Low"</formula>
    </cfRule>
  </conditionalFormatting>
  <dataValidations count="4">
    <dataValidation type="list" allowBlank="1" sqref="D10:D18">
      <formula1>"Critical,High,Medium,Low"</formula1>
    </dataValidation>
    <dataValidation type="list" allowBlank="1" sqref="D3:D18">
      <formula1>"Critical,High,Medium,Low"</formula1>
    </dataValidation>
    <dataValidation type="list" allowBlank="1" sqref="F10:F18">
      <formula1>"Not Started,In Progress,Review,Completed,Blocked"</formula1>
    </dataValidation>
    <dataValidation type="list" allowBlank="1" sqref="F3:F18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458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43</v>
      </c>
      <c r="B2" s="12" t="s">
        <v>45</v>
      </c>
      <c r="C2" s="12" t="s">
        <v>46</v>
      </c>
      <c r="D2" s="12" t="s">
        <v>47</v>
      </c>
      <c r="E2" s="12" t="s">
        <v>51</v>
      </c>
      <c r="F2" s="12" t="s">
        <v>48</v>
      </c>
      <c r="G2" s="12" t="s">
        <v>366</v>
      </c>
      <c r="H2" s="12" t="s">
        <v>367</v>
      </c>
      <c r="I2" s="12" t="s">
        <v>368</v>
      </c>
      <c r="J2" s="12" t="s">
        <v>54</v>
      </c>
    </row>
    <row r="3" spans="1:10" x14ac:dyDescent="0.25">
      <c r="A3" s="13" t="str">
        <f>=Dashboard!A40</f>
        <v>TASK-DB-016</v>
      </c>
      <c r="B3" s="6" t="str">
        <f>=Dashboard!C40</f>
        <v>Query optimization</v>
      </c>
      <c r="C3" s="6" t="str">
        <f>=Dashboard!D40</f>
        <v>Fathima Hana</v>
      </c>
      <c r="D3" s="13" t="str">
        <f>=Dashboard!E40</f>
        <v>Medium</v>
      </c>
      <c r="E3" s="13" t="str">
        <f>=Dashboard!I40</f>
        <v>TASK-DB-013</v>
      </c>
      <c r="F3" s="13" t="str">
        <f>=Dashboard!F40</f>
        <v>Not Started</v>
      </c>
      <c r="G3" s="6" t="s">
        <v>459</v>
      </c>
      <c r="H3" s="13" t="s">
        <v>106</v>
      </c>
      <c r="I3" s="13" t="s">
        <v>64</v>
      </c>
      <c r="J3" s="6" t="str">
        <f>=Dashboard!L40</f>
        <v>Support: Adithyan N. Optimizing pipeline matches</v>
      </c>
    </row>
    <row r="4" spans="1:10" x14ac:dyDescent="0.25">
      <c r="A4" s="15" t="str">
        <f>=Dashboard!A80</f>
        <v>TASK-FE-020</v>
      </c>
      <c r="B4" s="9" t="str">
        <f>=Dashboard!C80</f>
        <v>Responsive fixes</v>
      </c>
      <c r="C4" s="9" t="str">
        <f>=Dashboard!D80</f>
        <v>Adithyan N</v>
      </c>
      <c r="D4" s="15" t="str">
        <f>=Dashboard!E80</f>
        <v>Medium</v>
      </c>
      <c r="E4" s="15" t="str">
        <f>=Dashboard!I80</f>
        <v>TASK-FE-004</v>
      </c>
      <c r="F4" s="15" t="str">
        <f>=Dashboard!F80</f>
        <v>Not Started</v>
      </c>
      <c r="G4" s="9" t="s">
        <v>460</v>
      </c>
      <c r="H4" s="15" t="s">
        <v>106</v>
      </c>
      <c r="I4" s="15" t="s">
        <v>64</v>
      </c>
      <c r="J4" s="9" t="str">
        <f>=Dashboard!L80</f>
        <v>Fluid grids testing</v>
      </c>
    </row>
    <row r="5" spans="1:10" x14ac:dyDescent="0.25">
      <c r="A5" s="13" t="str">
        <f>=Dashboard!A99</f>
        <v>TASK-FR-006</v>
      </c>
      <c r="B5" s="6" t="str">
        <f>=Dashboard!C99</f>
        <v>Cross-Browser Camera Testing</v>
      </c>
      <c r="C5" s="6" t="str">
        <f>=Dashboard!D99</f>
        <v>Fadi Ahmed</v>
      </c>
      <c r="D5" s="13" t="str">
        <f>=Dashboard!E99</f>
        <v>Medium</v>
      </c>
      <c r="E5" s="13" t="str">
        <f>=Dashboard!I99</f>
        <v>TASK-FR-003</v>
      </c>
      <c r="F5" s="13" t="str">
        <f>=Dashboard!F99</f>
        <v>Not Started</v>
      </c>
      <c r="G5" s="6" t="s">
        <v>461</v>
      </c>
      <c r="H5" s="13" t="s">
        <v>106</v>
      </c>
      <c r="I5" s="13" t="s">
        <v>106</v>
      </c>
      <c r="J5" s="6" t="str">
        <f>=Dashboard!L99</f>
        <v>Webcam permissions tests on Safari/Firefox/Chrome</v>
      </c>
    </row>
    <row r="6" spans="1:10" x14ac:dyDescent="0.25">
      <c r="A6" s="15" t="str">
        <f>=Dashboard!A101</f>
        <v>TASK-FR-008</v>
      </c>
      <c r="B6" s="9" t="str">
        <f>=Dashboard!C101</f>
        <v>System Integration Testing</v>
      </c>
      <c r="C6" s="9" t="str">
        <f>=Dashboard!D101</f>
        <v>Fadi Ahmed</v>
      </c>
      <c r="D6" s="15" t="str">
        <f>=Dashboard!E101</f>
        <v>High</v>
      </c>
      <c r="E6" s="15" t="str">
        <f>=Dashboard!I101</f>
        <v>TASK-FR-004</v>
      </c>
      <c r="F6" s="15" t="str">
        <f>=Dashboard!F101</f>
        <v>Not Started</v>
      </c>
      <c r="G6" s="9" t="s">
        <v>462</v>
      </c>
      <c r="H6" s="15" t="s">
        <v>106</v>
      </c>
      <c r="I6" s="15" t="s">
        <v>106</v>
      </c>
      <c r="J6" s="9" t="str">
        <f>=Dashboard!L101</f>
        <v>Gating RBAC reviews verified</v>
      </c>
    </row>
    <row r="7" spans="1:10" x14ac:dyDescent="0.25">
      <c r="A7" s="13" t="str">
        <f>=Dashboard!A108</f>
        <v>TASK-QA-006</v>
      </c>
      <c r="B7" s="6" t="str">
        <f>=Dashboard!C108</f>
        <v>QA reports</v>
      </c>
      <c r="C7" s="6" t="str">
        <f>=Dashboard!D108</f>
        <v>Minha Palakkathodi</v>
      </c>
      <c r="D7" s="13" t="str">
        <f>=Dashboard!E108</f>
        <v>Medium</v>
      </c>
      <c r="E7" s="13" t="str">
        <f>=Dashboard!I108</f>
        <v>None</v>
      </c>
      <c r="F7" s="13" t="str">
        <f>=Dashboard!F108</f>
        <v>Not Started</v>
      </c>
      <c r="G7" s="6" t="s">
        <v>463</v>
      </c>
      <c r="H7" s="13" t="s">
        <v>64</v>
      </c>
      <c r="I7" s="13" t="s">
        <v>64</v>
      </c>
      <c r="J7" s="6" t="str">
        <f>=Dashboard!L108</f>
        <v>Test pass metrics logs summary</v>
      </c>
    </row>
    <row r="8" spans="1:10" x14ac:dyDescent="0.25">
      <c r="A8" s="15" t="str">
        <f>=Dashboard!A109</f>
        <v>TASK-QA-007</v>
      </c>
      <c r="B8" s="9" t="str">
        <f>=Dashboard!C109</f>
        <v>Bug verification</v>
      </c>
      <c r="C8" s="9" t="str">
        <f>=Dashboard!D109</f>
        <v>Minha Palakkathodi</v>
      </c>
      <c r="D8" s="15" t="str">
        <f>=Dashboard!E109</f>
        <v>High</v>
      </c>
      <c r="E8" s="15" t="str">
        <f>=Dashboard!I109</f>
        <v>None</v>
      </c>
      <c r="F8" s="15" t="str">
        <f>=Dashboard!F109</f>
        <v>Not Started</v>
      </c>
      <c r="G8" s="9" t="s">
        <v>464</v>
      </c>
      <c r="H8" s="15" t="s">
        <v>64</v>
      </c>
      <c r="I8" s="15" t="s">
        <v>64</v>
      </c>
      <c r="J8" s="9" t="str">
        <f>=Dashboard!L109</f>
        <v>Verify fix statuses</v>
      </c>
    </row>
  </sheetData>
  <autoFilter ref="A2:J8"/>
  <mergeCells count="1">
    <mergeCell ref="A1:J1"/>
  </mergeCells>
  <conditionalFormatting sqref="F3:F8">
    <cfRule type="cellIs" dxfId="63" priority="1" operator="equal">
      <formula>"Completed"</formula>
    </cfRule>
    <cfRule type="cellIs" dxfId="64" priority="2" operator="equal">
      <formula>"In Progress"</formula>
    </cfRule>
    <cfRule type="cellIs" dxfId="65" priority="3" operator="equal">
      <formula>"Review"</formula>
    </cfRule>
    <cfRule type="cellIs" dxfId="66" priority="4" operator="equal">
      <formula>"Blocked"</formula>
    </cfRule>
    <cfRule type="cellIs" dxfId="67" priority="5" operator="equal">
      <formula>"Not Started"</formula>
    </cfRule>
  </conditionalFormatting>
  <conditionalFormatting sqref="D3:D8">
    <cfRule type="cellIs" dxfId="68" priority="6" operator="equal">
      <formula>"Critical"</formula>
    </cfRule>
    <cfRule type="cellIs" dxfId="69" priority="7" operator="equal">
      <formula>"High"</formula>
    </cfRule>
    <cfRule type="cellIs" dxfId="70" priority="8" operator="equal">
      <formula>"Medium"</formula>
    </cfRule>
    <cfRule type="cellIs" dxfId="71" priority="9" operator="equal">
      <formula>"Low"</formula>
    </cfRule>
  </conditionalFormatting>
  <dataValidations count="2">
    <dataValidation type="list" allowBlank="1" sqref="D3:D8">
      <formula1>"Critical,High,Medium,Low"</formula1>
    </dataValidation>
    <dataValidation type="list" allowBlank="1" sqref="F3:F8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6" t="s">
        <v>465</v>
      </c>
      <c r="B1" s="36"/>
      <c r="C1" s="36"/>
      <c r="D1" s="36"/>
      <c r="E1" s="36"/>
      <c r="F1" s="36"/>
      <c r="G1" s="36"/>
      <c r="H1" s="36"/>
      <c r="I1" s="36"/>
      <c r="J1" s="36"/>
    </row>
    <row r="2" ht="28" customHeight="1" spans="1:10" x14ac:dyDescent="0.25">
      <c r="A2" s="12" t="s">
        <v>43</v>
      </c>
      <c r="B2" s="12" t="s">
        <v>45</v>
      </c>
      <c r="C2" s="12" t="s">
        <v>46</v>
      </c>
      <c r="D2" s="12" t="s">
        <v>47</v>
      </c>
      <c r="E2" s="12" t="s">
        <v>51</v>
      </c>
      <c r="F2" s="12" t="s">
        <v>48</v>
      </c>
      <c r="G2" s="12" t="s">
        <v>366</v>
      </c>
      <c r="H2" s="12" t="s">
        <v>367</v>
      </c>
      <c r="I2" s="12" t="s">
        <v>368</v>
      </c>
      <c r="J2" s="12" t="s">
        <v>54</v>
      </c>
    </row>
    <row r="3" spans="1:10" x14ac:dyDescent="0.25">
      <c r="A3" s="13" t="str">
        <f>=Dashboard!A24</f>
        <v>TASK-INF-009</v>
      </c>
      <c r="B3" s="6" t="str">
        <f>=Dashboard!C24</f>
        <v>Deployment preparation</v>
      </c>
      <c r="C3" s="6" t="str">
        <f>=Dashboard!D24</f>
        <v>Adithyan N + Muhammad Sanish</v>
      </c>
      <c r="D3" s="13" t="str">
        <f>=Dashboard!E24</f>
        <v>Medium</v>
      </c>
      <c r="E3" s="13" t="str">
        <f>=Dashboard!I24</f>
        <v>None</v>
      </c>
      <c r="F3" s="13" t="str">
        <f>=Dashboard!F24</f>
        <v>Not Started</v>
      </c>
      <c r="G3" s="6" t="s">
        <v>466</v>
      </c>
      <c r="H3" s="13" t="s">
        <v>106</v>
      </c>
      <c r="I3" s="13" t="s">
        <v>106</v>
      </c>
      <c r="J3" s="6" t="str">
        <f>=Dashboard!L24</f>
        <v>Production CORS policies configured</v>
      </c>
    </row>
    <row r="4" spans="1:10" x14ac:dyDescent="0.25">
      <c r="A4" s="15" t="str">
        <f>=Dashboard!A84</f>
        <v>TASK-FE-024</v>
      </c>
      <c r="B4" s="9" t="str">
        <f>=Dashboard!C84</f>
        <v>Final UI testing</v>
      </c>
      <c r="C4" s="9" t="str">
        <f>=Dashboard!D84</f>
        <v>Adithyan N</v>
      </c>
      <c r="D4" s="15" t="str">
        <f>=Dashboard!E84</f>
        <v>High</v>
      </c>
      <c r="E4" s="15" t="str">
        <f>=Dashboard!I84</f>
        <v>TASK-FE-021</v>
      </c>
      <c r="F4" s="15" t="str">
        <f>=Dashboard!F84</f>
        <v>Not Started</v>
      </c>
      <c r="G4" s="9" t="s">
        <v>467</v>
      </c>
      <c r="H4" s="15" t="s">
        <v>106</v>
      </c>
      <c r="I4" s="15" t="s">
        <v>64</v>
      </c>
      <c r="J4" s="9" t="str">
        <f>=Dashboard!L84</f>
        <v>UX verification pass signoff</v>
      </c>
    </row>
    <row r="5" spans="1:10" x14ac:dyDescent="0.25">
      <c r="A5" s="13" t="str">
        <f>=Dashboard!A106</f>
        <v>TASK-QA-004</v>
      </c>
      <c r="B5" s="6" t="str">
        <f>=Dashboard!C106</f>
        <v>Documentation review</v>
      </c>
      <c r="C5" s="6" t="str">
        <f>=Dashboard!D106</f>
        <v>Minha Palakkathodi</v>
      </c>
      <c r="D5" s="13" t="str">
        <f>=Dashboard!E106</f>
        <v>Medium</v>
      </c>
      <c r="E5" s="13" t="str">
        <f>=Dashboard!I106</f>
        <v>None</v>
      </c>
      <c r="F5" s="13" t="str">
        <f>=Dashboard!F106</f>
        <v>Not Started</v>
      </c>
      <c r="G5" s="6" t="s">
        <v>468</v>
      </c>
      <c r="H5" s="13" t="s">
        <v>64</v>
      </c>
      <c r="I5" s="13" t="s">
        <v>64</v>
      </c>
      <c r="J5" s="6" t="str">
        <f>=Dashboard!L106</f>
        <v>Checks repository documents integrity</v>
      </c>
    </row>
    <row r="6" spans="1:10" x14ac:dyDescent="0.25">
      <c r="A6" s="15" t="str">
        <f>=Dashboard!A107</f>
        <v>TASK-QA-005</v>
      </c>
      <c r="B6" s="9" t="str">
        <f>=Dashboard!C107</f>
        <v>Security checklist review</v>
      </c>
      <c r="C6" s="9" t="str">
        <f>=Dashboard!D107</f>
        <v>Minha Palakkathodi</v>
      </c>
      <c r="D6" s="15" t="str">
        <f>=Dashboard!E107</f>
        <v>High</v>
      </c>
      <c r="E6" s="15" t="str">
        <f>=Dashboard!I107</f>
        <v>None</v>
      </c>
      <c r="F6" s="15" t="str">
        <f>=Dashboard!F107</f>
        <v>Not Started</v>
      </c>
      <c r="G6" s="9" t="s">
        <v>469</v>
      </c>
      <c r="H6" s="15" t="s">
        <v>64</v>
      </c>
      <c r="I6" s="15" t="s">
        <v>64</v>
      </c>
      <c r="J6" s="9" t="str">
        <f>=Dashboard!L107</f>
        <v>Checks details audits validation</v>
      </c>
    </row>
    <row r="7" spans="1:10" x14ac:dyDescent="0.25">
      <c r="A7" s="13" t="str">
        <f>=Dashboard!A110</f>
        <v>TASK-QA-008</v>
      </c>
      <c r="B7" s="6" t="str">
        <f>=Dashboard!C110</f>
        <v>Final documentation</v>
      </c>
      <c r="C7" s="6" t="str">
        <f>=Dashboard!D110</f>
        <v>Minha Palakkathodi</v>
      </c>
      <c r="D7" s="13" t="str">
        <f>=Dashboard!E110</f>
        <v>High</v>
      </c>
      <c r="E7" s="13" t="str">
        <f>=Dashboard!I110</f>
        <v>None</v>
      </c>
      <c r="F7" s="13" t="str">
        <f>=Dashboard!F110</f>
        <v>Not Started</v>
      </c>
      <c r="G7" s="6" t="s">
        <v>470</v>
      </c>
      <c r="H7" s="13" t="s">
        <v>64</v>
      </c>
      <c r="I7" s="13" t="s">
        <v>64</v>
      </c>
      <c r="J7" s="6" t="str">
        <f>=Dashboard!L110</f>
        <v>Complete architecture references</v>
      </c>
    </row>
    <row r="8" spans="1:10" x14ac:dyDescent="0.25">
      <c r="A8" s="15" t="str">
        <f>=Dashboard!A111</f>
        <v>TASK-QA-009</v>
      </c>
      <c r="B8" s="9" t="str">
        <f>=Dashboard!C111</f>
        <v>Handover documentation</v>
      </c>
      <c r="C8" s="9" t="str">
        <f>=Dashboard!D111</f>
        <v>Minha Palakkathodi</v>
      </c>
      <c r="D8" s="15" t="str">
        <f>=Dashboard!E111</f>
        <v>High</v>
      </c>
      <c r="E8" s="15" t="str">
        <f>=Dashboard!I111</f>
        <v>TASK-QA-008</v>
      </c>
      <c r="F8" s="15" t="str">
        <f>=Dashboard!F111</f>
        <v>Not Started</v>
      </c>
      <c r="G8" s="9" t="s">
        <v>471</v>
      </c>
      <c r="H8" s="15" t="s">
        <v>64</v>
      </c>
      <c r="I8" s="15" t="s">
        <v>64</v>
      </c>
      <c r="J8" s="9" t="str">
        <f>=Dashboard!L111</f>
        <v>Log logins and operational keys handover structures</v>
      </c>
    </row>
  </sheetData>
  <autoFilter ref="A2:J8"/>
  <mergeCells count="1">
    <mergeCell ref="A1:J1"/>
  </mergeCells>
  <conditionalFormatting sqref="F3:F8">
    <cfRule type="cellIs" dxfId="72" priority="1" operator="equal">
      <formula>"Completed"</formula>
    </cfRule>
    <cfRule type="cellIs" dxfId="73" priority="2" operator="equal">
      <formula>"In Progress"</formula>
    </cfRule>
    <cfRule type="cellIs" dxfId="74" priority="3" operator="equal">
      <formula>"Review"</formula>
    </cfRule>
    <cfRule type="cellIs" dxfId="75" priority="4" operator="equal">
      <formula>"Blocked"</formula>
    </cfRule>
    <cfRule type="cellIs" dxfId="76" priority="5" operator="equal">
      <formula>"Not Started"</formula>
    </cfRule>
  </conditionalFormatting>
  <conditionalFormatting sqref="D3:D8">
    <cfRule type="cellIs" dxfId="77" priority="6" operator="equal">
      <formula>"Critical"</formula>
    </cfRule>
    <cfRule type="cellIs" dxfId="78" priority="7" operator="equal">
      <formula>"High"</formula>
    </cfRule>
    <cfRule type="cellIs" dxfId="79" priority="8" operator="equal">
      <formula>"Medium"</formula>
    </cfRule>
    <cfRule type="cellIs" dxfId="80" priority="9" operator="equal">
      <formula>"Low"</formula>
    </cfRule>
  </conditionalFormatting>
  <dataValidations count="2">
    <dataValidation type="list" allowBlank="1" sqref="D3:D8">
      <formula1>"Critical,High,Medium,Low"</formula1>
    </dataValidation>
    <dataValidation type="list" allowBlank="1" sqref="F3:F8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7" t="s">
        <v>472</v>
      </c>
      <c r="B1" s="37"/>
      <c r="C1" s="37"/>
      <c r="D1" s="37"/>
      <c r="E1" s="37"/>
      <c r="F1" s="37"/>
      <c r="G1" s="37"/>
      <c r="H1" s="37"/>
      <c r="I1" s="37"/>
      <c r="J1" s="37"/>
    </row>
    <row r="2" ht="26" customHeight="1" spans="1:10" x14ac:dyDescent="0.25">
      <c r="A2" s="12" t="s">
        <v>43</v>
      </c>
      <c r="B2" s="12" t="s">
        <v>45</v>
      </c>
      <c r="C2" s="12" t="s">
        <v>46</v>
      </c>
      <c r="D2" s="12" t="s">
        <v>47</v>
      </c>
      <c r="E2" s="12" t="s">
        <v>48</v>
      </c>
      <c r="F2" s="12" t="s">
        <v>50</v>
      </c>
      <c r="G2" s="12" t="s">
        <v>51</v>
      </c>
      <c r="H2" s="12" t="s">
        <v>52</v>
      </c>
      <c r="I2" s="12" t="s">
        <v>54</v>
      </c>
      <c r="J2" s="12" t="s">
        <v>473</v>
      </c>
    </row>
    <row r="3" spans="1:10" x14ac:dyDescent="0.25">
      <c r="A3" s="13" t="str">
        <f>=Dashboard!A41</f>
        <v>TASK-BE-001</v>
      </c>
      <c r="B3" s="6" t="str">
        <f>=Dashboard!C41</f>
        <v>Express setup</v>
      </c>
      <c r="C3" s="6" t="str">
        <f>=Dashboard!D41</f>
        <v>Muhammad Sanish</v>
      </c>
      <c r="D3" s="13" t="str">
        <f>=Dashboard!E41</f>
        <v>Critical</v>
      </c>
      <c r="E3" s="13" t="str">
        <f>=Dashboard!F41</f>
        <v>Not Started</v>
      </c>
      <c r="F3" s="13" t="str">
        <f>=Dashboard!H41</f>
        <v>Day 1</v>
      </c>
      <c r="G3" s="13" t="str">
        <f>=Dashboard!I41</f>
        <v>TASK-INF-005</v>
      </c>
      <c r="H3" s="13" t="str">
        <f>=Dashboard!J41</f>
        <v>Pending</v>
      </c>
      <c r="I3" s="6" t="str">
        <f>=Dashboard!L41</f>
        <v>Security middleware active</v>
      </c>
      <c r="J3" s="38">
        <v>46192</v>
      </c>
    </row>
    <row r="4" spans="1:10" x14ac:dyDescent="0.25">
      <c r="A4" s="15" t="str">
        <f>=Dashboard!A42</f>
        <v>TASK-BE-002</v>
      </c>
      <c r="B4" s="9" t="str">
        <f>=Dashboard!C42</f>
        <v>MongoDB connection</v>
      </c>
      <c r="C4" s="9" t="str">
        <f>=Dashboard!D42</f>
        <v>Muhammad Sanish</v>
      </c>
      <c r="D4" s="15" t="str">
        <f>=Dashboard!E42</f>
        <v>Critical</v>
      </c>
      <c r="E4" s="15" t="str">
        <f>=Dashboard!F42</f>
        <v>Not Started</v>
      </c>
      <c r="F4" s="15" t="str">
        <f>=Dashboard!H42</f>
        <v>Day 1</v>
      </c>
      <c r="G4" s="15" t="str">
        <f>=Dashboard!I42</f>
        <v>TASK-INF-004</v>
      </c>
      <c r="H4" s="15" t="str">
        <f>=Dashboard!J42</f>
        <v>Pending</v>
      </c>
      <c r="I4" s="9" t="str">
        <f>=Dashboard!L42</f>
        <v>Connection pool set to 10 connections max</v>
      </c>
      <c r="J4" s="39">
        <v>46192</v>
      </c>
    </row>
    <row r="5" spans="1:10" x14ac:dyDescent="0.25">
      <c r="A5" s="13" t="str">
        <f>=Dashboard!A43</f>
        <v>TASK-BE-003</v>
      </c>
      <c r="B5" s="6" t="str">
        <f>=Dashboard!C43</f>
        <v>Environment configuration</v>
      </c>
      <c r="C5" s="6" t="str">
        <f>=Dashboard!D43</f>
        <v>Muhammad Sanish</v>
      </c>
      <c r="D5" s="13" t="str">
        <f>=Dashboard!E43</f>
        <v>High</v>
      </c>
      <c r="E5" s="13" t="str">
        <f>=Dashboard!F43</f>
        <v>Not Started</v>
      </c>
      <c r="F5" s="13" t="str">
        <f>=Dashboard!H43</f>
        <v>Day 1</v>
      </c>
      <c r="G5" s="13" t="str">
        <f>=Dashboard!I43</f>
        <v>TASK-INF-005</v>
      </c>
      <c r="H5" s="13" t="str">
        <f>=Dashboard!J43</f>
        <v>Pending</v>
      </c>
      <c r="I5" s="6" t="str">
        <f>=Dashboard!L43</f>
        <v>Throws startup error on missing keys</v>
      </c>
      <c r="J5" s="38">
        <v>46192</v>
      </c>
    </row>
    <row r="6" spans="1:10" x14ac:dyDescent="0.25">
      <c r="A6" s="15" t="str">
        <f>=Dashboard!A44</f>
        <v>TASK-BE-004</v>
      </c>
      <c r="B6" s="9" t="str">
        <f>=Dashboard!C44</f>
        <v>Authentication APIs</v>
      </c>
      <c r="C6" s="9" t="str">
        <f>=Dashboard!D44</f>
        <v>Muhammad Sanish</v>
      </c>
      <c r="D6" s="15" t="str">
        <f>=Dashboard!E44</f>
        <v>Critical</v>
      </c>
      <c r="E6" s="15" t="str">
        <f>=Dashboard!F44</f>
        <v>Not Started</v>
      </c>
      <c r="F6" s="15" t="str">
        <f>=Dashboard!H44</f>
        <v>Day 2</v>
      </c>
      <c r="G6" s="15" t="str">
        <f>=Dashboard!I44</f>
        <v>TASK-BE-001</v>
      </c>
      <c r="H6" s="15" t="str">
        <f>=Dashboard!J44</f>
        <v>Pending</v>
      </c>
      <c r="I6" s="9" t="str">
        <f>=Dashboard!L44</f>
        <v>Bcrypt salt rounds configured</v>
      </c>
      <c r="J6" s="39">
        <v>46192</v>
      </c>
    </row>
    <row r="7" spans="1:10" x14ac:dyDescent="0.25">
      <c r="A7" s="13" t="str">
        <f>=Dashboard!A45</f>
        <v>TASK-BE-005</v>
      </c>
      <c r="B7" s="6" t="str">
        <f>=Dashboard!C45</f>
        <v>JWT implementation</v>
      </c>
      <c r="C7" s="6" t="str">
        <f>=Dashboard!D45</f>
        <v>Muhammad Sanish</v>
      </c>
      <c r="D7" s="13" t="str">
        <f>=Dashboard!E45</f>
        <v>Critical</v>
      </c>
      <c r="E7" s="13" t="str">
        <f>=Dashboard!F45</f>
        <v>Not Started</v>
      </c>
      <c r="F7" s="13" t="str">
        <f>=Dashboard!H45</f>
        <v>Day 2</v>
      </c>
      <c r="G7" s="13" t="str">
        <f>=Dashboard!I45</f>
        <v>TASK-BE-004</v>
      </c>
      <c r="H7" s="13" t="str">
        <f>=Dashboard!J45</f>
        <v>Pending</v>
      </c>
      <c r="I7" s="6" t="str">
        <f>=Dashboard!L45</f>
        <v>Token expires in 15 mins</v>
      </c>
      <c r="J7" s="38">
        <v>46192</v>
      </c>
    </row>
    <row r="8" spans="1:10" x14ac:dyDescent="0.25">
      <c r="A8" s="15" t="str">
        <f>=Dashboard!A46</f>
        <v>TASK-BE-006</v>
      </c>
      <c r="B8" s="9" t="str">
        <f>=Dashboard!C46</f>
        <v>Refresh token API</v>
      </c>
      <c r="C8" s="9" t="str">
        <f>=Dashboard!D46</f>
        <v>Muhammad Sanish</v>
      </c>
      <c r="D8" s="15" t="str">
        <f>=Dashboard!E46</f>
        <v>High</v>
      </c>
      <c r="E8" s="15" t="str">
        <f>=Dashboard!F46</f>
        <v>Not Started</v>
      </c>
      <c r="F8" s="15" t="str">
        <f>=Dashboard!H46</f>
        <v>Day 2</v>
      </c>
      <c r="G8" s="15" t="str">
        <f>=Dashboard!I46</f>
        <v>TASK-BE-005</v>
      </c>
      <c r="H8" s="15" t="str">
        <f>=Dashboard!J46</f>
        <v>Pending</v>
      </c>
      <c r="I8" s="9" t="str">
        <f>=Dashboard!L46</f>
        <v>Secure cookie transport tags configuration</v>
      </c>
      <c r="J8" s="39">
        <v>46192</v>
      </c>
    </row>
    <row r="9" spans="1:10" x14ac:dyDescent="0.25">
      <c r="A9" s="13" t="str">
        <f>=Dashboard!A47</f>
        <v>TASK-BE-007</v>
      </c>
      <c r="B9" s="6" t="str">
        <f>=Dashboard!C47</f>
        <v>Logout API</v>
      </c>
      <c r="C9" s="6" t="str">
        <f>=Dashboard!D47</f>
        <v>Muhammad Sanish</v>
      </c>
      <c r="D9" s="13" t="str">
        <f>=Dashboard!E47</f>
        <v>Medium</v>
      </c>
      <c r="E9" s="13" t="str">
        <f>=Dashboard!F47</f>
        <v>Not Started</v>
      </c>
      <c r="F9" s="13" t="str">
        <f>=Dashboard!H47</f>
        <v>Day 2</v>
      </c>
      <c r="G9" s="13" t="str">
        <f>=Dashboard!I47</f>
        <v>TASK-BE-005</v>
      </c>
      <c r="H9" s="13" t="str">
        <f>=Dashboard!J47</f>
        <v>Pending</v>
      </c>
      <c r="I9" s="6" t="str">
        <f>=Dashboard!L47</f>
        <v>Revokes active refresh session</v>
      </c>
      <c r="J9" s="38">
        <v>46192</v>
      </c>
    </row>
    <row r="10" spans="1:10" x14ac:dyDescent="0.25">
      <c r="A10" s="15" t="str">
        <f>=Dashboard!A48</f>
        <v>TASK-BE-008</v>
      </c>
      <c r="B10" s="9" t="str">
        <f>=Dashboard!C48</f>
        <v>RBAC middleware</v>
      </c>
      <c r="C10" s="9" t="str">
        <f>=Dashboard!D48</f>
        <v>Muhammad Sanish</v>
      </c>
      <c r="D10" s="15" t="str">
        <f>=Dashboard!E48</f>
        <v>Critical</v>
      </c>
      <c r="E10" s="15" t="str">
        <f>=Dashboard!F48</f>
        <v>Not Started</v>
      </c>
      <c r="F10" s="15" t="str">
        <f>=Dashboard!H48</f>
        <v>Day 1</v>
      </c>
      <c r="G10" s="15" t="str">
        <f>=Dashboard!I48</f>
        <v>TASK-BE-005</v>
      </c>
      <c r="H10" s="15" t="str">
        <f>=Dashboard!J48</f>
        <v>Pending</v>
      </c>
      <c r="I10" s="9" t="str">
        <f>=Dashboard!L48</f>
        <v>Role sets validation checks</v>
      </c>
      <c r="J10" s="39">
        <v>46192</v>
      </c>
    </row>
    <row r="11" spans="1:10" x14ac:dyDescent="0.25">
      <c r="A11" s="13" t="str">
        <f>=Dashboard!A49</f>
        <v>TASK-BE-009</v>
      </c>
      <c r="B11" s="6" t="str">
        <f>=Dashboard!C49</f>
        <v>Audit logging</v>
      </c>
      <c r="C11" s="6" t="str">
        <f>=Dashboard!D49</f>
        <v>Muhammad Sanish</v>
      </c>
      <c r="D11" s="13" t="str">
        <f>=Dashboard!E49</f>
        <v>High</v>
      </c>
      <c r="E11" s="13" t="str">
        <f>=Dashboard!F49</f>
        <v>Not Started</v>
      </c>
      <c r="F11" s="13" t="str">
        <f>=Dashboard!H49</f>
        <v>Day 5</v>
      </c>
      <c r="G11" s="13" t="str">
        <f>=Dashboard!I49</f>
        <v>TASK-BE-002</v>
      </c>
      <c r="H11" s="13" t="str">
        <f>=Dashboard!J49</f>
        <v>Pending</v>
      </c>
      <c r="I11" s="6" t="str">
        <f>=Dashboard!L49</f>
        <v>Writes directly to audit_logs collection</v>
      </c>
      <c r="J11" s="38">
        <v>46192</v>
      </c>
    </row>
    <row r="12" spans="1:10" x14ac:dyDescent="0.25">
      <c r="A12" s="15" t="str">
        <f>=Dashboard!A50</f>
        <v>TASK-BE-010</v>
      </c>
      <c r="B12" s="9" t="str">
        <f>=Dashboard!C50</f>
        <v>Error middleware</v>
      </c>
      <c r="C12" s="9" t="str">
        <f>=Dashboard!D50</f>
        <v>Muhammad Sanish</v>
      </c>
      <c r="D12" s="15" t="str">
        <f>=Dashboard!E50</f>
        <v>Medium</v>
      </c>
      <c r="E12" s="15" t="str">
        <f>=Dashboard!F50</f>
        <v>Not Started</v>
      </c>
      <c r="F12" s="15" t="str">
        <f>=Dashboard!H50</f>
        <v>Day 1</v>
      </c>
      <c r="G12" s="15" t="str">
        <f>=Dashboard!I50</f>
        <v>TASK-BE-001</v>
      </c>
      <c r="H12" s="15" t="str">
        <f>=Dashboard!J50</f>
        <v>Pending</v>
      </c>
      <c r="I12" s="9" t="str">
        <f>=Dashboard!L50</f>
        <v>Redacts stack traces in production environment</v>
      </c>
      <c r="J12" s="39">
        <v>46192</v>
      </c>
    </row>
    <row r="13" spans="1:10" x14ac:dyDescent="0.25">
      <c r="A13" s="13" t="str">
        <f>=Dashboard!A51</f>
        <v>TASK-BE-011</v>
      </c>
      <c r="B13" s="6" t="str">
        <f>=Dashboard!C51</f>
        <v>Validation middleware</v>
      </c>
      <c r="C13" s="6" t="str">
        <f>=Dashboard!D51</f>
        <v>Muhammad Sanish</v>
      </c>
      <c r="D13" s="13" t="str">
        <f>=Dashboard!E51</f>
        <v>High</v>
      </c>
      <c r="E13" s="13" t="str">
        <f>=Dashboard!F51</f>
        <v>Not Started</v>
      </c>
      <c r="F13" s="13" t="str">
        <f>=Dashboard!H51</f>
        <v>Day 1</v>
      </c>
      <c r="G13" s="13" t="str">
        <f>=Dashboard!I51</f>
        <v>TASK-BE-001</v>
      </c>
      <c r="H13" s="13" t="str">
        <f>=Dashboard!J51</f>
        <v>Pending</v>
      </c>
      <c r="I13" s="6" t="str">
        <f>=Dashboard!L51</f>
        <v>Strips unauthorized fields</v>
      </c>
      <c r="J13" s="38">
        <v>46192</v>
      </c>
    </row>
    <row r="14" spans="1:10" x14ac:dyDescent="0.25">
      <c r="A14" s="15" t="str">
        <f>=Dashboard!A52</f>
        <v>TASK-BE-012</v>
      </c>
      <c r="B14" s="9" t="str">
        <f>=Dashboard!C52</f>
        <v>Complaint APIs</v>
      </c>
      <c r="C14" s="9" t="str">
        <f>=Dashboard!D52</f>
        <v>Muhammad Sanish</v>
      </c>
      <c r="D14" s="15" t="str">
        <f>=Dashboard!E52</f>
        <v>High</v>
      </c>
      <c r="E14" s="15" t="str">
        <f>=Dashboard!F52</f>
        <v>Not Started</v>
      </c>
      <c r="F14" s="15" t="str">
        <f>=Dashboard!H52</f>
        <v>Day 2</v>
      </c>
      <c r="G14" s="15" t="str">
        <f>=Dashboard!I52</f>
        <v>TASK-BE-008</v>
      </c>
      <c r="H14" s="15" t="str">
        <f>=Dashboard!J52</f>
        <v>Pending</v>
      </c>
      <c r="I14" s="9" t="str">
        <f>=Dashboard!L52</f>
        <v>Resource ownership validations active</v>
      </c>
      <c r="J14" s="39">
        <v>46192</v>
      </c>
    </row>
    <row r="15" spans="1:10" x14ac:dyDescent="0.25">
      <c r="A15" s="13" t="str">
        <f>=Dashboard!A53</f>
        <v>TASK-BE-013</v>
      </c>
      <c r="B15" s="6" t="str">
        <f>=Dashboard!C53</f>
        <v>File Tracking APIs</v>
      </c>
      <c r="C15" s="6" t="str">
        <f>=Dashboard!D53</f>
        <v>Muhammad Sanish</v>
      </c>
      <c r="D15" s="13" t="str">
        <f>=Dashboard!E53</f>
        <v>Medium</v>
      </c>
      <c r="E15" s="13" t="str">
        <f>=Dashboard!F53</f>
        <v>Not Started</v>
      </c>
      <c r="F15" s="13" t="str">
        <f>=Dashboard!H53</f>
        <v>Day 3</v>
      </c>
      <c r="G15" s="13" t="str">
        <f>=Dashboard!I53</f>
        <v>TASK-BE-008</v>
      </c>
      <c r="H15" s="13" t="str">
        <f>=Dashboard!J53</f>
        <v>Pending</v>
      </c>
      <c r="I15" s="6" t="str">
        <f>=Dashboard!L53</f>
        <v>Suppresses internal notes and logs on public view</v>
      </c>
      <c r="J15" s="38">
        <v>46192</v>
      </c>
    </row>
    <row r="16" spans="1:10" x14ac:dyDescent="0.25">
      <c r="A16" s="15" t="str">
        <f>=Dashboard!A54</f>
        <v>TASK-BE-014</v>
      </c>
      <c r="B16" s="9" t="str">
        <f>=Dashboard!C54</f>
        <v>Feedback APIs</v>
      </c>
      <c r="C16" s="9" t="str">
        <f>=Dashboard!D54</f>
        <v>Muhammad Sanish</v>
      </c>
      <c r="D16" s="15" t="str">
        <f>=Dashboard!E54</f>
        <v>Medium</v>
      </c>
      <c r="E16" s="15" t="str">
        <f>=Dashboard!F54</f>
        <v>Not Started</v>
      </c>
      <c r="F16" s="15" t="str">
        <f>=Dashboard!H54</f>
        <v>Day 3</v>
      </c>
      <c r="G16" s="15" t="str">
        <f>=Dashboard!I54</f>
        <v>TASK-BE-012</v>
      </c>
      <c r="H16" s="15" t="str">
        <f>=Dashboard!J54</f>
        <v>Pending</v>
      </c>
      <c r="I16" s="9" t="str">
        <f>=Dashboard!L54</f>
        <v>Locks complaints database records on completion</v>
      </c>
      <c r="J16" s="39">
        <v>46192</v>
      </c>
    </row>
    <row r="17" spans="1:10" x14ac:dyDescent="0.25">
      <c r="A17" s="13" t="str">
        <f>=Dashboard!A55</f>
        <v>TASK-BE-015</v>
      </c>
      <c r="B17" s="6" t="str">
        <f>=Dashboard!C55</f>
        <v>Attendance APIs</v>
      </c>
      <c r="C17" s="6" t="str">
        <f>=Dashboard!D55</f>
        <v>Muhammad Sanish</v>
      </c>
      <c r="D17" s="13" t="str">
        <f>=Dashboard!E55</f>
        <v>High</v>
      </c>
      <c r="E17" s="13" t="str">
        <f>=Dashboard!F55</f>
        <v>Not Started</v>
      </c>
      <c r="F17" s="13" t="str">
        <f>=Dashboard!H55</f>
        <v>Day 4</v>
      </c>
      <c r="G17" s="13" t="str">
        <f>=Dashboard!I55</f>
        <v>TASK-BE-008</v>
      </c>
      <c r="H17" s="13" t="str">
        <f>=Dashboard!J55</f>
        <v>Pending</v>
      </c>
      <c r="I17" s="6" t="str">
        <f>=Dashboard!L55</f>
        <v>Validates consent status before scan logic</v>
      </c>
      <c r="J17" s="38">
        <v>46192</v>
      </c>
    </row>
    <row r="18" spans="1:10" x14ac:dyDescent="0.25">
      <c r="A18" s="15" t="str">
        <f>=Dashboard!A56</f>
        <v>TASK-BE-016</v>
      </c>
      <c r="B18" s="9" t="str">
        <f>=Dashboard!C56</f>
        <v>Admin APIs</v>
      </c>
      <c r="C18" s="9" t="str">
        <f>=Dashboard!D56</f>
        <v>Muhammad Sanish</v>
      </c>
      <c r="D18" s="15" t="str">
        <f>=Dashboard!E56</f>
        <v>High</v>
      </c>
      <c r="E18" s="15" t="str">
        <f>=Dashboard!F56</f>
        <v>Not Started</v>
      </c>
      <c r="F18" s="15" t="str">
        <f>=Dashboard!H56</f>
        <v>Day 5</v>
      </c>
      <c r="G18" s="15" t="str">
        <f>=Dashboard!I56</f>
        <v>TASK-BE-008</v>
      </c>
      <c r="H18" s="15" t="str">
        <f>=Dashboard!J56</f>
        <v>Pending</v>
      </c>
      <c r="I18" s="9" t="str">
        <f>=Dashboard!L56</f>
        <v>Enforces strict Admin role checks</v>
      </c>
      <c r="J18" s="39">
        <v>46192</v>
      </c>
    </row>
    <row r="19" spans="1:10" x14ac:dyDescent="0.25">
      <c r="A19" s="13" t="str">
        <f>=Dashboard!A57</f>
        <v>TASK-BE-017</v>
      </c>
      <c r="B19" s="6" t="str">
        <f>=Dashboard!C57</f>
        <v>Notification APIs</v>
      </c>
      <c r="C19" s="6" t="str">
        <f>=Dashboard!D57</f>
        <v>Muhammad Sanish</v>
      </c>
      <c r="D19" s="13" t="str">
        <f>=Dashboard!E57</f>
        <v>Medium</v>
      </c>
      <c r="E19" s="13" t="str">
        <f>=Dashboard!F57</f>
        <v>Not Started</v>
      </c>
      <c r="F19" s="13" t="str">
        <f>=Dashboard!H57</f>
        <v>Day 5</v>
      </c>
      <c r="G19" s="13" t="str">
        <f>=Dashboard!I57</f>
        <v>TASK-BE-001</v>
      </c>
      <c r="H19" s="13" t="str">
        <f>=Dashboard!J57</f>
        <v>Pending</v>
      </c>
      <c r="I19" s="6" t="str">
        <f>=Dashboard!L57</f>
        <v>System alert logs generation</v>
      </c>
      <c r="J19" s="38">
        <v>46192</v>
      </c>
    </row>
    <row r="20" spans="1:10" x14ac:dyDescent="0.25">
      <c r="A20" s="15" t="str">
        <f>=Dashboard!A58</f>
        <v>TASK-BE-018</v>
      </c>
      <c r="B20" s="9" t="str">
        <f>=Dashboard!C58</f>
        <v>Rate limiting</v>
      </c>
      <c r="C20" s="9" t="str">
        <f>=Dashboard!D58</f>
        <v>Muhammad Sanish</v>
      </c>
      <c r="D20" s="15" t="str">
        <f>=Dashboard!E58</f>
        <v>High</v>
      </c>
      <c r="E20" s="15" t="str">
        <f>=Dashboard!F58</f>
        <v>Not Started</v>
      </c>
      <c r="F20" s="15" t="str">
        <f>=Dashboard!H58</f>
        <v>Day 1</v>
      </c>
      <c r="G20" s="15" t="str">
        <f>=Dashboard!I58</f>
        <v>TASK-BE-001</v>
      </c>
      <c r="H20" s="15" t="str">
        <f>=Dashboard!J58</f>
        <v>Pending</v>
      </c>
      <c r="I20" s="9" t="str">
        <f>=Dashboard!L58</f>
        <v>Prevents brute force attempts</v>
      </c>
      <c r="J20" s="39">
        <v>46192</v>
      </c>
    </row>
    <row r="21" spans="1:10" x14ac:dyDescent="0.25">
      <c r="A21" s="13" t="str">
        <f>=Dashboard!A59</f>
        <v>TASK-BE-019</v>
      </c>
      <c r="B21" s="6" t="str">
        <f>=Dashboard!C59</f>
        <v>Health check API</v>
      </c>
      <c r="C21" s="6" t="str">
        <f>=Dashboard!D59</f>
        <v>Muhammad Sanish</v>
      </c>
      <c r="D21" s="13" t="str">
        <f>=Dashboard!E59</f>
        <v>Low</v>
      </c>
      <c r="E21" s="13" t="str">
        <f>=Dashboard!F59</f>
        <v>Not Started</v>
      </c>
      <c r="F21" s="13" t="str">
        <f>=Dashboard!H59</f>
        <v>Day 1</v>
      </c>
      <c r="G21" s="13" t="str">
        <f>=Dashboard!I59</f>
        <v>TASK-BE-001</v>
      </c>
      <c r="H21" s="13" t="str">
        <f>=Dashboard!J59</f>
        <v>Pending</v>
      </c>
      <c r="I21" s="6" t="str">
        <f>=Dashboard!L59</f>
        <v>Returns DB status and memory limits details</v>
      </c>
      <c r="J21" s="38">
        <v>46192</v>
      </c>
    </row>
    <row r="22" spans="1:10" x14ac:dyDescent="0.25">
      <c r="A22" s="15" t="str">
        <f>=Dashboard!A60</f>
        <v>TASK-BE-020</v>
      </c>
      <c r="B22" s="9" t="str">
        <f>=Dashboard!C60</f>
        <v>API documentation</v>
      </c>
      <c r="C22" s="9" t="str">
        <f>=Dashboard!D60</f>
        <v>Muhammad Sanish</v>
      </c>
      <c r="D22" s="15" t="str">
        <f>=Dashboard!E60</f>
        <v>Medium</v>
      </c>
      <c r="E22" s="15" t="str">
        <f>=Dashboard!F60</f>
        <v>Not Started</v>
      </c>
      <c r="F22" s="15" t="str">
        <f>=Dashboard!H60</f>
        <v>Day 5</v>
      </c>
      <c r="G22" s="15" t="str">
        <f>=Dashboard!I60</f>
        <v>TASK-BE-001</v>
      </c>
      <c r="H22" s="15" t="str">
        <f>=Dashboard!J60</f>
        <v>Pending</v>
      </c>
      <c r="I22" s="9" t="str">
        <f>=Dashboard!L60</f>
        <v>Complete document of schema request bodies</v>
      </c>
      <c r="J22" s="39">
        <v>46192</v>
      </c>
    </row>
  </sheetData>
  <autoFilter ref="A2:J22"/>
  <mergeCells count="1">
    <mergeCell ref="A1:J1"/>
  </mergeCells>
  <conditionalFormatting sqref="E3:E22">
    <cfRule type="cellIs" dxfId="81" priority="1" operator="equal">
      <formula>"Completed"</formula>
    </cfRule>
    <cfRule type="cellIs" dxfId="82" priority="2" operator="equal">
      <formula>"In Progress"</formula>
    </cfRule>
    <cfRule type="cellIs" dxfId="83" priority="3" operator="equal">
      <formula>"Review"</formula>
    </cfRule>
    <cfRule type="cellIs" dxfId="84" priority="4" operator="equal">
      <formula>"Blocked"</formula>
    </cfRule>
    <cfRule type="cellIs" dxfId="85" priority="5" operator="equal">
      <formula>"Not Started"</formula>
    </cfRule>
  </conditionalFormatting>
  <conditionalFormatting sqref="D3:D22">
    <cfRule type="cellIs" dxfId="86" priority="6" operator="equal">
      <formula>"Critical"</formula>
    </cfRule>
    <cfRule type="cellIs" dxfId="87" priority="7" operator="equal">
      <formula>"High"</formula>
    </cfRule>
    <cfRule type="cellIs" dxfId="88" priority="8" operator="equal">
      <formula>"Medium"</formula>
    </cfRule>
    <cfRule type="cellIs" dxfId="89" priority="9" operator="equal">
      <formula>"Low"</formula>
    </cfRule>
  </conditionalFormatting>
  <dataValidations count="4">
    <dataValidation type="list" allowBlank="1" sqref="D10:D22">
      <formula1>"Critical,High,Medium,Low"</formula1>
    </dataValidation>
    <dataValidation type="list" allowBlank="1" sqref="D3:D22">
      <formula1>"Critical,High,Medium,Low"</formula1>
    </dataValidation>
    <dataValidation type="list" allowBlank="1" sqref="E10:E22">
      <formula1>"Not Started,In Progress,Review,Completed,Blocked"</formula1>
    </dataValidation>
    <dataValidation type="list" allowBlank="1" sqref="E3:E22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7" t="s">
        <v>474</v>
      </c>
      <c r="B1" s="37"/>
      <c r="C1" s="37"/>
      <c r="D1" s="37"/>
      <c r="E1" s="37"/>
      <c r="F1" s="37"/>
      <c r="G1" s="37"/>
      <c r="H1" s="37"/>
      <c r="I1" s="37"/>
      <c r="J1" s="37"/>
    </row>
    <row r="2" ht="26" customHeight="1" spans="1:10" x14ac:dyDescent="0.25">
      <c r="A2" s="12" t="s">
        <v>43</v>
      </c>
      <c r="B2" s="12" t="s">
        <v>45</v>
      </c>
      <c r="C2" s="12" t="s">
        <v>46</v>
      </c>
      <c r="D2" s="12" t="s">
        <v>47</v>
      </c>
      <c r="E2" s="12" t="s">
        <v>48</v>
      </c>
      <c r="F2" s="12" t="s">
        <v>50</v>
      </c>
      <c r="G2" s="12" t="s">
        <v>51</v>
      </c>
      <c r="H2" s="12" t="s">
        <v>52</v>
      </c>
      <c r="I2" s="12" t="s">
        <v>54</v>
      </c>
      <c r="J2" s="12" t="s">
        <v>473</v>
      </c>
    </row>
    <row r="3" spans="1:10" x14ac:dyDescent="0.25">
      <c r="A3" s="13" t="str">
        <f>=Dashboard!A61</f>
        <v>TASK-FE-001</v>
      </c>
      <c r="B3" s="6" t="str">
        <f>=Dashboard!C61</f>
        <v>React project setup</v>
      </c>
      <c r="C3" s="6" t="str">
        <f>=Dashboard!D61</f>
        <v>Adithyan N</v>
      </c>
      <c r="D3" s="13" t="str">
        <f>=Dashboard!E61</f>
        <v>High</v>
      </c>
      <c r="E3" s="13" t="str">
        <f>=Dashboard!F61</f>
        <v>Not Started</v>
      </c>
      <c r="F3" s="13" t="str">
        <f>=Dashboard!H61</f>
        <v>Day 1</v>
      </c>
      <c r="G3" s="13" t="str">
        <f>=Dashboard!I61</f>
        <v>None</v>
      </c>
      <c r="H3" s="13" t="str">
        <f>=Dashboard!J61</f>
        <v>Pending</v>
      </c>
      <c r="I3" s="6" t="str">
        <f>=Dashboard!L61</f>
        <v>Project workspace initialized</v>
      </c>
      <c r="J3" s="38">
        <v>46192</v>
      </c>
    </row>
    <row r="4" spans="1:10" x14ac:dyDescent="0.25">
      <c r="A4" s="15" t="str">
        <f>=Dashboard!A62</f>
        <v>TASK-FE-002</v>
      </c>
      <c r="B4" s="9" t="str">
        <f>=Dashboard!C62</f>
        <v>Tailwind setup</v>
      </c>
      <c r="C4" s="9" t="str">
        <f>=Dashboard!D62</f>
        <v>Adithyan N</v>
      </c>
      <c r="D4" s="15" t="str">
        <f>=Dashboard!E62</f>
        <v>High</v>
      </c>
      <c r="E4" s="15" t="str">
        <f>=Dashboard!F62</f>
        <v>Not Started</v>
      </c>
      <c r="F4" s="15" t="str">
        <f>=Dashboard!H62</f>
        <v>Day 1</v>
      </c>
      <c r="G4" s="15" t="str">
        <f>=Dashboard!I62</f>
        <v>TASK-FE-001</v>
      </c>
      <c r="H4" s="15" t="str">
        <f>=Dashboard!J62</f>
        <v>Pending</v>
      </c>
      <c r="I4" s="9" t="str">
        <f>=Dashboard!L62</f>
        <v>Custom theme color palettes mapped</v>
      </c>
      <c r="J4" s="39">
        <v>46192</v>
      </c>
    </row>
    <row r="5" spans="1:10" x14ac:dyDescent="0.25">
      <c r="A5" s="13" t="str">
        <f>=Dashboard!A63</f>
        <v>TASK-FE-003</v>
      </c>
      <c r="B5" s="6" t="str">
        <f>=Dashboard!C63</f>
        <v>Folder structure</v>
      </c>
      <c r="C5" s="6" t="str">
        <f>=Dashboard!D63</f>
        <v>Adithyan N</v>
      </c>
      <c r="D5" s="13" t="str">
        <f>=Dashboard!E63</f>
        <v>Medium</v>
      </c>
      <c r="E5" s="13" t="str">
        <f>=Dashboard!F63</f>
        <v>Not Started</v>
      </c>
      <c r="F5" s="13" t="str">
        <f>=Dashboard!H63</f>
        <v>Day 1</v>
      </c>
      <c r="G5" s="13" t="str">
        <f>=Dashboard!I63</f>
        <v>TASK-FE-001</v>
      </c>
      <c r="H5" s="13" t="str">
        <f>=Dashboard!J63</f>
        <v>Pending</v>
      </c>
      <c r="I5" s="6" t="str">
        <f>=Dashboard!L63</f>
        <v>Standard clean coding layout</v>
      </c>
      <c r="J5" s="38">
        <v>46192</v>
      </c>
    </row>
    <row r="6" spans="1:10" x14ac:dyDescent="0.25">
      <c r="A6" s="15" t="str">
        <f>=Dashboard!A64</f>
        <v>TASK-FE-004</v>
      </c>
      <c r="B6" s="9" t="str">
        <f>=Dashboard!C64</f>
        <v>Global layout</v>
      </c>
      <c r="C6" s="9" t="str">
        <f>=Dashboard!D64</f>
        <v>Adithyan N</v>
      </c>
      <c r="D6" s="15" t="str">
        <f>=Dashboard!E64</f>
        <v>High</v>
      </c>
      <c r="E6" s="15" t="str">
        <f>=Dashboard!F64</f>
        <v>Not Started</v>
      </c>
      <c r="F6" s="15" t="str">
        <f>=Dashboard!H64</f>
        <v>Day 1</v>
      </c>
      <c r="G6" s="15" t="str">
        <f>=Dashboard!I64</f>
        <v>TASK-FE-003</v>
      </c>
      <c r="H6" s="15" t="str">
        <f>=Dashboard!J64</f>
        <v>Pending</v>
      </c>
      <c r="I6" s="9" t="str">
        <f>=Dashboard!L64</f>
        <v>Mobile responsive shell layout</v>
      </c>
      <c r="J6" s="39">
        <v>46192</v>
      </c>
    </row>
    <row r="7" spans="1:10" x14ac:dyDescent="0.25">
      <c r="A7" s="13" t="str">
        <f>=Dashboard!A65</f>
        <v>TASK-FE-005</v>
      </c>
      <c r="B7" s="6" t="str">
        <f>=Dashboard!C65</f>
        <v>Routing</v>
      </c>
      <c r="C7" s="6" t="str">
        <f>=Dashboard!D65</f>
        <v>Adithyan N</v>
      </c>
      <c r="D7" s="13" t="str">
        <f>=Dashboard!E65</f>
        <v>High</v>
      </c>
      <c r="E7" s="13" t="str">
        <f>=Dashboard!F65</f>
        <v>Not Started</v>
      </c>
      <c r="F7" s="13" t="str">
        <f>=Dashboard!H65</f>
        <v>Day 1</v>
      </c>
      <c r="G7" s="13" t="str">
        <f>=Dashboard!I65</f>
        <v>TASK-FE-001</v>
      </c>
      <c r="H7" s="13" t="str">
        <f>=Dashboard!J65</f>
        <v>Pending</v>
      </c>
      <c r="I7" s="6" t="str">
        <f>=Dashboard!L65</f>
        <v>URL router structure finalized</v>
      </c>
      <c r="J7" s="38">
        <v>46192</v>
      </c>
    </row>
    <row r="8" spans="1:10" x14ac:dyDescent="0.25">
      <c r="A8" s="15" t="str">
        <f>=Dashboard!A66</f>
        <v>TASK-FE-006</v>
      </c>
      <c r="B8" s="9" t="str">
        <f>=Dashboard!C66</f>
        <v>Protected routes</v>
      </c>
      <c r="C8" s="9" t="str">
        <f>=Dashboard!D66</f>
        <v>Adithyan N</v>
      </c>
      <c r="D8" s="15" t="str">
        <f>=Dashboard!E66</f>
        <v>High</v>
      </c>
      <c r="E8" s="15" t="str">
        <f>=Dashboard!F66</f>
        <v>Not Started</v>
      </c>
      <c r="F8" s="15" t="str">
        <f>=Dashboard!H66</f>
        <v>Day 1</v>
      </c>
      <c r="G8" s="15" t="str">
        <f>=Dashboard!I66</f>
        <v>TASK-FE-005</v>
      </c>
      <c r="H8" s="15" t="str">
        <f>=Dashboard!J66</f>
        <v>Pending</v>
      </c>
      <c r="I8" s="9" t="str">
        <f>=Dashboard!L66</f>
        <v>Redirects guest to login page</v>
      </c>
      <c r="J8" s="39">
        <v>46192</v>
      </c>
    </row>
    <row r="9" spans="1:10" x14ac:dyDescent="0.25">
      <c r="A9" s="13" t="str">
        <f>=Dashboard!A67</f>
        <v>TASK-FE-007</v>
      </c>
      <c r="B9" s="6" t="str">
        <f>=Dashboard!C67</f>
        <v>Axios client</v>
      </c>
      <c r="C9" s="6" t="str">
        <f>=Dashboard!D67</f>
        <v>Adithyan N</v>
      </c>
      <c r="D9" s="13" t="str">
        <f>=Dashboard!E67</f>
        <v>High</v>
      </c>
      <c r="E9" s="13" t="str">
        <f>=Dashboard!F67</f>
        <v>Not Started</v>
      </c>
      <c r="F9" s="13" t="str">
        <f>=Dashboard!H67</f>
        <v>Day 1</v>
      </c>
      <c r="G9" s="13" t="str">
        <f>=Dashboard!I67</f>
        <v>None</v>
      </c>
      <c r="H9" s="13" t="str">
        <f>=Dashboard!J67</f>
        <v>Pending</v>
      </c>
      <c r="I9" s="6" t="str">
        <f>=Dashboard!L67</f>
        <v>Base configuration templates</v>
      </c>
      <c r="J9" s="38">
        <v>46192</v>
      </c>
    </row>
    <row r="10" spans="1:10" x14ac:dyDescent="0.25">
      <c r="A10" s="15" t="str">
        <f>=Dashboard!A68</f>
        <v>TASK-FE-008</v>
      </c>
      <c r="B10" s="9" t="str">
        <f>=Dashboard!C68</f>
        <v>API interceptors</v>
      </c>
      <c r="C10" s="9" t="str">
        <f>=Dashboard!D68</f>
        <v>Adithyan N</v>
      </c>
      <c r="D10" s="15" t="str">
        <f>=Dashboard!E68</f>
        <v>High</v>
      </c>
      <c r="E10" s="15" t="str">
        <f>=Dashboard!F68</f>
        <v>Not Started</v>
      </c>
      <c r="F10" s="15" t="str">
        <f>=Dashboard!H68</f>
        <v>Day 1</v>
      </c>
      <c r="G10" s="15" t="str">
        <f>=Dashboard!I68</f>
        <v>TASK-FE-007</v>
      </c>
      <c r="H10" s="15" t="str">
        <f>=Dashboard!J68</f>
        <v>Pending</v>
      </c>
      <c r="I10" s="9" t="str">
        <f>=Dashboard!L68</f>
        <v>Auto attaches auth tokens to headers</v>
      </c>
      <c r="J10" s="39">
        <v>46192</v>
      </c>
    </row>
    <row r="11" spans="1:10" x14ac:dyDescent="0.25">
      <c r="A11" s="13" t="str">
        <f>=Dashboard!A69</f>
        <v>TASK-FE-009</v>
      </c>
      <c r="B11" s="6" t="str">
        <f>=Dashboard!C69</f>
        <v>Authentication pages</v>
      </c>
      <c r="C11" s="6" t="str">
        <f>=Dashboard!D69</f>
        <v>Adithyan N</v>
      </c>
      <c r="D11" s="13" t="str">
        <f>=Dashboard!E69</f>
        <v>High</v>
      </c>
      <c r="E11" s="13" t="str">
        <f>=Dashboard!F69</f>
        <v>Not Started</v>
      </c>
      <c r="F11" s="13" t="str">
        <f>=Dashboard!H69</f>
        <v>Day 2</v>
      </c>
      <c r="G11" s="13" t="str">
        <f>=Dashboard!I69</f>
        <v>TASK-FE-006</v>
      </c>
      <c r="H11" s="13" t="str">
        <f>=Dashboard!J69</f>
        <v>Pending</v>
      </c>
      <c r="I11" s="6" t="str">
        <f>=Dashboard!L69</f>
        <v>Client side input validation rules active</v>
      </c>
      <c r="J11" s="38">
        <v>46192</v>
      </c>
    </row>
    <row r="12" spans="1:10" x14ac:dyDescent="0.25">
      <c r="A12" s="15" t="str">
        <f>=Dashboard!A70</f>
        <v>TASK-FE-010</v>
      </c>
      <c r="B12" s="9" t="str">
        <f>=Dashboard!C70</f>
        <v>Citizen Dashboard</v>
      </c>
      <c r="C12" s="9" t="str">
        <f>=Dashboard!D70</f>
        <v>Adithyan N</v>
      </c>
      <c r="D12" s="15" t="str">
        <f>=Dashboard!E70</f>
        <v>High</v>
      </c>
      <c r="E12" s="15" t="str">
        <f>=Dashboard!F70</f>
        <v>Not Started</v>
      </c>
      <c r="F12" s="15" t="str">
        <f>=Dashboard!H70</f>
        <v>Day 2</v>
      </c>
      <c r="G12" s="15" t="str">
        <f>=Dashboard!I70</f>
        <v>TASK-FE-006</v>
      </c>
      <c r="H12" s="15" t="str">
        <f>=Dashboard!J70</f>
        <v>Pending</v>
      </c>
      <c r="I12" s="9" t="str">
        <f>=Dashboard!L70</f>
        <v>Overview dashboard for citizen portals</v>
      </c>
      <c r="J12" s="39">
        <v>46192</v>
      </c>
    </row>
    <row r="13" spans="1:10" x14ac:dyDescent="0.25">
      <c r="A13" s="13" t="str">
        <f>=Dashboard!A71</f>
        <v>TASK-FE-011</v>
      </c>
      <c r="B13" s="6" t="str">
        <f>=Dashboard!C71</f>
        <v>Complaint Management UI</v>
      </c>
      <c r="C13" s="6" t="str">
        <f>=Dashboard!D71</f>
        <v>Adithyan N</v>
      </c>
      <c r="D13" s="13" t="str">
        <f>=Dashboard!E71</f>
        <v>High</v>
      </c>
      <c r="E13" s="13" t="str">
        <f>=Dashboard!F71</f>
        <v>Not Started</v>
      </c>
      <c r="F13" s="13" t="str">
        <f>=Dashboard!H71</f>
        <v>Day 2</v>
      </c>
      <c r="G13" s="13" t="str">
        <f>=Dashboard!I71</f>
        <v>TASK-FE-010</v>
      </c>
      <c r="H13" s="13" t="str">
        <f>=Dashboard!J71</f>
        <v>Pending</v>
      </c>
      <c r="I13" s="6" t="str">
        <f>=Dashboard!L71</f>
        <v>File type constraints validated</v>
      </c>
      <c r="J13" s="38">
        <v>46192</v>
      </c>
    </row>
    <row r="14" spans="1:10" x14ac:dyDescent="0.25">
      <c r="A14" s="15" t="str">
        <f>=Dashboard!A72</f>
        <v>TASK-FE-012</v>
      </c>
      <c r="B14" s="9" t="str">
        <f>=Dashboard!C72</f>
        <v>File Tracking UI</v>
      </c>
      <c r="C14" s="9" t="str">
        <f>=Dashboard!D72</f>
        <v>Adithyan N</v>
      </c>
      <c r="D14" s="15" t="str">
        <f>=Dashboard!E72</f>
        <v>Medium</v>
      </c>
      <c r="E14" s="15" t="str">
        <f>=Dashboard!F72</f>
        <v>Not Started</v>
      </c>
      <c r="F14" s="15" t="str">
        <f>=Dashboard!H72</f>
        <v>Day 3</v>
      </c>
      <c r="G14" s="15" t="str">
        <f>=Dashboard!I72</f>
        <v>TASK-FE-008</v>
      </c>
      <c r="H14" s="15" t="str">
        <f>=Dashboard!J72</f>
        <v>Pending</v>
      </c>
      <c r="I14" s="9" t="str">
        <f>=Dashboard!L72</f>
        <v>Visual timeline progress trackers</v>
      </c>
      <c r="J14" s="39">
        <v>46192</v>
      </c>
    </row>
    <row r="15" spans="1:10" x14ac:dyDescent="0.25">
      <c r="A15" s="13" t="str">
        <f>=Dashboard!A73</f>
        <v>TASK-FE-013</v>
      </c>
      <c r="B15" s="6" t="str">
        <f>=Dashboard!C73</f>
        <v>Feedback UI</v>
      </c>
      <c r="C15" s="6" t="str">
        <f>=Dashboard!D73</f>
        <v>Adithyan N</v>
      </c>
      <c r="D15" s="13" t="str">
        <f>=Dashboard!E73</f>
        <v>Medium</v>
      </c>
      <c r="E15" s="13" t="str">
        <f>=Dashboard!F73</f>
        <v>Not Started</v>
      </c>
      <c r="F15" s="13" t="str">
        <f>=Dashboard!H73</f>
        <v>Day 3</v>
      </c>
      <c r="G15" s="13" t="str">
        <f>=Dashboard!I73</f>
        <v>TASK-FE-011</v>
      </c>
      <c r="H15" s="13" t="str">
        <f>=Dashboard!J73</f>
        <v>Pending</v>
      </c>
      <c r="I15" s="6" t="str">
        <f>=Dashboard!L73</f>
        <v>1-to-5 star feedback rating</v>
      </c>
      <c r="J15" s="38">
        <v>46192</v>
      </c>
    </row>
    <row r="16" spans="1:10" x14ac:dyDescent="0.25">
      <c r="A16" s="15" t="str">
        <f>=Dashboard!A74</f>
        <v>TASK-FE-014</v>
      </c>
      <c r="B16" s="9" t="str">
        <f>=Dashboard!C74</f>
        <v>Staff Dashboard UI</v>
      </c>
      <c r="C16" s="9" t="str">
        <f>=Dashboard!D74</f>
        <v>Adithyan N</v>
      </c>
      <c r="D16" s="15" t="str">
        <f>=Dashboard!E74</f>
        <v>High</v>
      </c>
      <c r="E16" s="15" t="str">
        <f>=Dashboard!F74</f>
        <v>Not Started</v>
      </c>
      <c r="F16" s="15" t="str">
        <f>=Dashboard!H74</f>
        <v>Day 4</v>
      </c>
      <c r="G16" s="15" t="str">
        <f>=Dashboard!I74</f>
        <v>TASK-FE-006</v>
      </c>
      <c r="H16" s="15" t="str">
        <f>=Dashboard!J74</f>
        <v>Pending</v>
      </c>
      <c r="I16" s="9" t="str">
        <f>=Dashboard!L74</f>
        <v>Workspace console for employees</v>
      </c>
      <c r="J16" s="39">
        <v>46192</v>
      </c>
    </row>
    <row r="17" spans="1:10" x14ac:dyDescent="0.25">
      <c r="A17" s="13" t="str">
        <f>=Dashboard!A75</f>
        <v>TASK-FE-015</v>
      </c>
      <c r="B17" s="6" t="str">
        <f>=Dashboard!C75</f>
        <v>Attendance UI</v>
      </c>
      <c r="C17" s="6" t="str">
        <f>=Dashboard!D75</f>
        <v>Adithyan N</v>
      </c>
      <c r="D17" s="13" t="str">
        <f>=Dashboard!E75</f>
        <v>High</v>
      </c>
      <c r="E17" s="13" t="str">
        <f>=Dashboard!F75</f>
        <v>Not Started</v>
      </c>
      <c r="F17" s="13" t="str">
        <f>=Dashboard!H75</f>
        <v>Day 4</v>
      </c>
      <c r="G17" s="13" t="str">
        <f>=Dashboard!I75</f>
        <v>TASK-FE-014</v>
      </c>
      <c r="H17" s="13" t="str">
        <f>=Dashboard!J75</f>
        <v>Pending</v>
      </c>
      <c r="I17" s="6" t="str">
        <f>=Dashboard!L75</f>
        <v>Liveness prompt overlay layout</v>
      </c>
      <c r="J17" s="38">
        <v>46192</v>
      </c>
    </row>
    <row r="18" spans="1:10" x14ac:dyDescent="0.25">
      <c r="A18" s="15" t="str">
        <f>=Dashboard!A76</f>
        <v>TASK-FE-016</v>
      </c>
      <c r="B18" s="9" t="str">
        <f>=Dashboard!C76</f>
        <v>Chatbot UI</v>
      </c>
      <c r="C18" s="9" t="str">
        <f>=Dashboard!D76</f>
        <v>Adithyan N</v>
      </c>
      <c r="D18" s="15" t="str">
        <f>=Dashboard!E76</f>
        <v>Medium</v>
      </c>
      <c r="E18" s="15" t="str">
        <f>=Dashboard!F76</f>
        <v>Not Started</v>
      </c>
      <c r="F18" s="15" t="str">
        <f>=Dashboard!H76</f>
        <v>Day 4</v>
      </c>
      <c r="G18" s="15" t="str">
        <f>=Dashboard!I76</f>
        <v>TASK-FE-008</v>
      </c>
      <c r="H18" s="15" t="str">
        <f>=Dashboard!J76</f>
        <v>Pending</v>
      </c>
      <c r="I18" s="9" t="str">
        <f>=Dashboard!L76</f>
        <v>Gemini assistant layout UI</v>
      </c>
      <c r="J18" s="39">
        <v>46192</v>
      </c>
    </row>
    <row r="19" spans="1:10" x14ac:dyDescent="0.25">
      <c r="A19" s="13" t="str">
        <f>=Dashboard!A77</f>
        <v>TASK-FE-017</v>
      </c>
      <c r="B19" s="6" t="str">
        <f>=Dashboard!C77</f>
        <v>Admin Dashboard UI</v>
      </c>
      <c r="C19" s="6" t="str">
        <f>=Dashboard!D77</f>
        <v>Adithyan N</v>
      </c>
      <c r="D19" s="13" t="str">
        <f>=Dashboard!E77</f>
        <v>High</v>
      </c>
      <c r="E19" s="13" t="str">
        <f>=Dashboard!F77</f>
        <v>Not Started</v>
      </c>
      <c r="F19" s="13" t="str">
        <f>=Dashboard!H77</f>
        <v>Day 5</v>
      </c>
      <c r="G19" s="13" t="str">
        <f>=Dashboard!I77</f>
        <v>TASK-FE-006</v>
      </c>
      <c r="H19" s="13" t="str">
        <f>=Dashboard!J77</f>
        <v>Pending</v>
      </c>
      <c r="I19" s="6" t="str">
        <f>=Dashboard!L77</f>
        <v>SLA thresholds controller views</v>
      </c>
      <c r="J19" s="38">
        <v>46192</v>
      </c>
    </row>
    <row r="20" spans="1:10" x14ac:dyDescent="0.25">
      <c r="A20" s="15" t="str">
        <f>=Dashboard!A78</f>
        <v>TASK-FE-018</v>
      </c>
      <c r="B20" s="9" t="str">
        <f>=Dashboard!C78</f>
        <v>Notifications UI</v>
      </c>
      <c r="C20" s="9" t="str">
        <f>=Dashboard!D78</f>
        <v>Adithyan N</v>
      </c>
      <c r="D20" s="15" t="str">
        <f>=Dashboard!E78</f>
        <v>Medium</v>
      </c>
      <c r="E20" s="15" t="str">
        <f>=Dashboard!F78</f>
        <v>Not Started</v>
      </c>
      <c r="F20" s="15" t="str">
        <f>=Dashboard!H78</f>
        <v>Day 5</v>
      </c>
      <c r="G20" s="15" t="str">
        <f>=Dashboard!I78</f>
        <v>TASK-FE-008</v>
      </c>
      <c r="H20" s="15" t="str">
        <f>=Dashboard!J78</f>
        <v>Pending</v>
      </c>
      <c r="I20" s="9" t="str">
        <f>=Dashboard!L78</f>
        <v>Toast popups integrations</v>
      </c>
      <c r="J20" s="39">
        <v>46192</v>
      </c>
    </row>
    <row r="21" spans="1:10" x14ac:dyDescent="0.25">
      <c r="A21" s="13" t="str">
        <f>=Dashboard!A79</f>
        <v>TASK-FE-019</v>
      </c>
      <c r="B21" s="6" t="str">
        <f>=Dashboard!C79</f>
        <v>Reusable Components</v>
      </c>
      <c r="C21" s="6" t="str">
        <f>=Dashboard!D79</f>
        <v>Adithyan N</v>
      </c>
      <c r="D21" s="13" t="str">
        <f>=Dashboard!E79</f>
        <v>Medium</v>
      </c>
      <c r="E21" s="13" t="str">
        <f>=Dashboard!F79</f>
        <v>Not Started</v>
      </c>
      <c r="F21" s="13" t="str">
        <f>=Dashboard!H79</f>
        <v>Day 1</v>
      </c>
      <c r="G21" s="13" t="str">
        <f>=Dashboard!I79</f>
        <v>TASK-FE-002</v>
      </c>
      <c r="H21" s="13" t="str">
        <f>=Dashboard!J79</f>
        <v>Pending</v>
      </c>
      <c r="I21" s="6" t="str">
        <f>=Dashboard!L79</f>
        <v>Common component assets</v>
      </c>
      <c r="J21" s="38">
        <v>46192</v>
      </c>
    </row>
    <row r="22" spans="1:10" x14ac:dyDescent="0.25">
      <c r="A22" s="15" t="str">
        <f>=Dashboard!A80</f>
        <v>TASK-FE-020</v>
      </c>
      <c r="B22" s="9" t="str">
        <f>=Dashboard!C80</f>
        <v>Responsive fixes</v>
      </c>
      <c r="C22" s="9" t="str">
        <f>=Dashboard!D80</f>
        <v>Adithyan N</v>
      </c>
      <c r="D22" s="15" t="str">
        <f>=Dashboard!E80</f>
        <v>Medium</v>
      </c>
      <c r="E22" s="15" t="str">
        <f>=Dashboard!F80</f>
        <v>Not Started</v>
      </c>
      <c r="F22" s="15" t="str">
        <f>=Dashboard!H80</f>
        <v>Day 6</v>
      </c>
      <c r="G22" s="15" t="str">
        <f>=Dashboard!I80</f>
        <v>TASK-FE-004</v>
      </c>
      <c r="H22" s="15" t="str">
        <f>=Dashboard!J80</f>
        <v>Pending</v>
      </c>
      <c r="I22" s="9" t="str">
        <f>=Dashboard!L80</f>
        <v>Fluid grids testing</v>
      </c>
      <c r="J22" s="39">
        <v>46192</v>
      </c>
    </row>
    <row r="23" spans="1:10" x14ac:dyDescent="0.25">
      <c r="A23" s="13" t="str">
        <f>=Dashboard!A81</f>
        <v>TASK-FE-021</v>
      </c>
      <c r="B23" s="6" t="str">
        <f>=Dashboard!C81</f>
        <v>Frontend API integration</v>
      </c>
      <c r="C23" s="6" t="str">
        <f>=Dashboard!D81</f>
        <v>Adithyan N</v>
      </c>
      <c r="D23" s="13" t="str">
        <f>=Dashboard!E81</f>
        <v>High</v>
      </c>
      <c r="E23" s="13" t="str">
        <f>=Dashboard!F81</f>
        <v>Not Started</v>
      </c>
      <c r="F23" s="13" t="str">
        <f>=Dashboard!H81</f>
        <v>Day 5</v>
      </c>
      <c r="G23" s="13" t="str">
        <f>=Dashboard!I81</f>
        <v>TASK-FE-008</v>
      </c>
      <c r="H23" s="13" t="str">
        <f>=Dashboard!J81</f>
        <v>Pending</v>
      </c>
      <c r="I23" s="6" t="str">
        <f>=Dashboard!L81</f>
        <v>Integration mapping verified</v>
      </c>
      <c r="J23" s="38">
        <v>46192</v>
      </c>
    </row>
    <row r="24" spans="1:10" x14ac:dyDescent="0.25">
      <c r="A24" s="15" t="str">
        <f>=Dashboard!A82</f>
        <v>TASK-FE-022</v>
      </c>
      <c r="B24" s="9" t="str">
        <f>=Dashboard!C82</f>
        <v>Error boundaries</v>
      </c>
      <c r="C24" s="9" t="str">
        <f>=Dashboard!D82</f>
        <v>Adithyan N</v>
      </c>
      <c r="D24" s="15" t="str">
        <f>=Dashboard!E82</f>
        <v>Low</v>
      </c>
      <c r="E24" s="15" t="str">
        <f>=Dashboard!F82</f>
        <v>Not Started</v>
      </c>
      <c r="F24" s="15" t="str">
        <f>=Dashboard!H82</f>
        <v>Day 1</v>
      </c>
      <c r="G24" s="15" t="str">
        <f>=Dashboard!I82</f>
        <v>TASK-FE-001</v>
      </c>
      <c r="H24" s="15" t="str">
        <f>=Dashboard!J82</f>
        <v>Pending</v>
      </c>
      <c r="I24" s="9" t="str">
        <f>=Dashboard!L82</f>
        <v>No stack details shown in production UI</v>
      </c>
      <c r="J24" s="39">
        <v>46192</v>
      </c>
    </row>
    <row r="25" spans="1:10" x14ac:dyDescent="0.25">
      <c r="A25" s="13" t="str">
        <f>=Dashboard!A83</f>
        <v>TASK-FE-023</v>
      </c>
      <c r="B25" s="6" t="str">
        <f>=Dashboard!C83</f>
        <v>Loading components</v>
      </c>
      <c r="C25" s="6" t="str">
        <f>=Dashboard!D83</f>
        <v>Adithyan N</v>
      </c>
      <c r="D25" s="13" t="str">
        <f>=Dashboard!E83</f>
        <v>Low</v>
      </c>
      <c r="E25" s="13" t="str">
        <f>=Dashboard!F83</f>
        <v>Not Started</v>
      </c>
      <c r="F25" s="13" t="str">
        <f>=Dashboard!H83</f>
        <v>Day 1</v>
      </c>
      <c r="G25" s="13" t="str">
        <f>=Dashboard!I83</f>
        <v>TASK-FE-001</v>
      </c>
      <c r="H25" s="13" t="str">
        <f>=Dashboard!J83</f>
        <v>Pending</v>
      </c>
      <c r="I25" s="6" t="str">
        <f>=Dashboard!L83</f>
        <v>Visual placeholders setup</v>
      </c>
      <c r="J25" s="38">
        <v>46192</v>
      </c>
    </row>
    <row r="26" spans="1:10" x14ac:dyDescent="0.25">
      <c r="A26" s="15" t="str">
        <f>=Dashboard!A84</f>
        <v>TASK-FE-024</v>
      </c>
      <c r="B26" s="9" t="str">
        <f>=Dashboard!C84</f>
        <v>Final UI testing</v>
      </c>
      <c r="C26" s="9" t="str">
        <f>=Dashboard!D84</f>
        <v>Adithyan N</v>
      </c>
      <c r="D26" s="15" t="str">
        <f>=Dashboard!E84</f>
        <v>High</v>
      </c>
      <c r="E26" s="15" t="str">
        <f>=Dashboard!F84</f>
        <v>Not Started</v>
      </c>
      <c r="F26" s="15" t="str">
        <f>=Dashboard!H84</f>
        <v>Day 7</v>
      </c>
      <c r="G26" s="15" t="str">
        <f>=Dashboard!I84</f>
        <v>TASK-FE-021</v>
      </c>
      <c r="H26" s="15" t="str">
        <f>=Dashboard!J84</f>
        <v>Pending</v>
      </c>
      <c r="I26" s="9" t="str">
        <f>=Dashboard!L84</f>
        <v>UX verification pass signoff</v>
      </c>
      <c r="J26" s="39">
        <v>46192</v>
      </c>
    </row>
  </sheetData>
  <autoFilter ref="A2:J26"/>
  <mergeCells count="1">
    <mergeCell ref="A1:J1"/>
  </mergeCells>
  <conditionalFormatting sqref="E3:E26">
    <cfRule type="cellIs" dxfId="90" priority="1" operator="equal">
      <formula>"Completed"</formula>
    </cfRule>
    <cfRule type="cellIs" dxfId="91" priority="2" operator="equal">
      <formula>"In Progress"</formula>
    </cfRule>
    <cfRule type="cellIs" dxfId="92" priority="3" operator="equal">
      <formula>"Review"</formula>
    </cfRule>
    <cfRule type="cellIs" dxfId="93" priority="4" operator="equal">
      <formula>"Blocked"</formula>
    </cfRule>
    <cfRule type="cellIs" dxfId="94" priority="5" operator="equal">
      <formula>"Not Started"</formula>
    </cfRule>
  </conditionalFormatting>
  <conditionalFormatting sqref="D3:D26">
    <cfRule type="cellIs" dxfId="95" priority="6" operator="equal">
      <formula>"Critical"</formula>
    </cfRule>
    <cfRule type="cellIs" dxfId="96" priority="7" operator="equal">
      <formula>"High"</formula>
    </cfRule>
    <cfRule type="cellIs" dxfId="97" priority="8" operator="equal">
      <formula>"Medium"</formula>
    </cfRule>
    <cfRule type="cellIs" dxfId="98" priority="9" operator="equal">
      <formula>"Low"</formula>
    </cfRule>
  </conditionalFormatting>
  <dataValidations count="4">
    <dataValidation type="list" allowBlank="1" sqref="D10:D26">
      <formula1>"Critical,High,Medium,Low"</formula1>
    </dataValidation>
    <dataValidation type="list" allowBlank="1" sqref="D3:D26">
      <formula1>"Critical,High,Medium,Low"</formula1>
    </dataValidation>
    <dataValidation type="list" allowBlank="1" sqref="E10:E26">
      <formula1>"Not Started,In Progress,Review,Completed,Blocked"</formula1>
    </dataValidation>
    <dataValidation type="list" allowBlank="1" sqref="E3:E26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7" t="s">
        <v>475</v>
      </c>
      <c r="B1" s="37"/>
      <c r="C1" s="37"/>
      <c r="D1" s="37"/>
      <c r="E1" s="37"/>
      <c r="F1" s="37"/>
      <c r="G1" s="37"/>
      <c r="H1" s="37"/>
      <c r="I1" s="37"/>
      <c r="J1" s="37"/>
    </row>
    <row r="2" ht="26" customHeight="1" spans="1:10" x14ac:dyDescent="0.25">
      <c r="A2" s="12" t="s">
        <v>43</v>
      </c>
      <c r="B2" s="12" t="s">
        <v>45</v>
      </c>
      <c r="C2" s="12" t="s">
        <v>46</v>
      </c>
      <c r="D2" s="12" t="s">
        <v>47</v>
      </c>
      <c r="E2" s="12" t="s">
        <v>48</v>
      </c>
      <c r="F2" s="12" t="s">
        <v>50</v>
      </c>
      <c r="G2" s="12" t="s">
        <v>51</v>
      </c>
      <c r="H2" s="12" t="s">
        <v>52</v>
      </c>
      <c r="I2" s="12" t="s">
        <v>54</v>
      </c>
      <c r="J2" s="12" t="s">
        <v>473</v>
      </c>
    </row>
    <row r="3" spans="1:10" x14ac:dyDescent="0.25">
      <c r="A3" s="13" t="str">
        <f>=Dashboard!A25</f>
        <v>TASK-DB-001</v>
      </c>
      <c r="B3" s="6" t="str">
        <f>=Dashboard!C25</f>
        <v>User schema</v>
      </c>
      <c r="C3" s="6" t="str">
        <f>=Dashboard!D25</f>
        <v>Fathima Hana</v>
      </c>
      <c r="D3" s="13" t="str">
        <f>=Dashboard!E25</f>
        <v>Critical</v>
      </c>
      <c r="E3" s="13" t="str">
        <f>=Dashboard!F25</f>
        <v>Not Started</v>
      </c>
      <c r="F3" s="13" t="str">
        <f>=Dashboard!H25</f>
        <v>Day 1</v>
      </c>
      <c r="G3" s="13" t="str">
        <f>=Dashboard!I25</f>
        <v>TASK-INF-004</v>
      </c>
      <c r="H3" s="13" t="str">
        <f>=Dashboard!J25</f>
        <v>Pending</v>
      </c>
      <c r="I3" s="6" t="str">
        <f>=Dashboard!L25</f>
        <v>Support: Adithyan N. Unique key bounds active</v>
      </c>
      <c r="J3" s="38">
        <v>46192</v>
      </c>
    </row>
    <row r="4" spans="1:10" x14ac:dyDescent="0.25">
      <c r="A4" s="15" t="str">
        <f>=Dashboard!A26</f>
        <v>TASK-DB-002</v>
      </c>
      <c r="B4" s="9" t="str">
        <f>=Dashboard!C26</f>
        <v>Role schema</v>
      </c>
      <c r="C4" s="9" t="str">
        <f>=Dashboard!D26</f>
        <v>Fathima Hana</v>
      </c>
      <c r="D4" s="15" t="str">
        <f>=Dashboard!E26</f>
        <v>High</v>
      </c>
      <c r="E4" s="15" t="str">
        <f>=Dashboard!F26</f>
        <v>Not Started</v>
      </c>
      <c r="F4" s="15" t="str">
        <f>=Dashboard!H26</f>
        <v>Day 1</v>
      </c>
      <c r="G4" s="15" t="str">
        <f>=Dashboard!I26</f>
        <v>TASK-DB-001</v>
      </c>
      <c r="H4" s="15" t="str">
        <f>=Dashboard!J26</f>
        <v>Pending</v>
      </c>
      <c r="I4" s="9" t="str">
        <f>=Dashboard!L26</f>
        <v>Support: Adithyan N. Predefined roles seeded</v>
      </c>
      <c r="J4" s="39">
        <v>46192</v>
      </c>
    </row>
    <row r="5" spans="1:10" x14ac:dyDescent="0.25">
      <c r="A5" s="13" t="str">
        <f>=Dashboard!A27</f>
        <v>TASK-DB-003</v>
      </c>
      <c r="B5" s="6" t="str">
        <f>=Dashboard!C27</f>
        <v>Permission schema</v>
      </c>
      <c r="C5" s="6" t="str">
        <f>=Dashboard!D27</f>
        <v>Fathima Hana</v>
      </c>
      <c r="D5" s="13" t="str">
        <f>=Dashboard!E27</f>
        <v>High</v>
      </c>
      <c r="E5" s="13" t="str">
        <f>=Dashboard!F27</f>
        <v>Not Started</v>
      </c>
      <c r="F5" s="13" t="str">
        <f>=Dashboard!H27</f>
        <v>Day 1</v>
      </c>
      <c r="G5" s="13" t="str">
        <f>=Dashboard!I27</f>
        <v>TASK-DB-002</v>
      </c>
      <c r="H5" s="13" t="str">
        <f>=Dashboard!J27</f>
        <v>Pending</v>
      </c>
      <c r="I5" s="6" t="str">
        <f>=Dashboard!L27</f>
        <v>Support: Adithyan N. RBAC maps</v>
      </c>
      <c r="J5" s="38">
        <v>46192</v>
      </c>
    </row>
    <row r="6" spans="1:10" x14ac:dyDescent="0.25">
      <c r="A6" s="15" t="str">
        <f>=Dashboard!A28</f>
        <v>TASK-DB-004</v>
      </c>
      <c r="B6" s="9" t="str">
        <f>=Dashboard!C28</f>
        <v>Department schema</v>
      </c>
      <c r="C6" s="9" t="str">
        <f>=Dashboard!D28</f>
        <v>Fathima Hana</v>
      </c>
      <c r="D6" s="15" t="str">
        <f>=Dashboard!E28</f>
        <v>Medium</v>
      </c>
      <c r="E6" s="15" t="str">
        <f>=Dashboard!F28</f>
        <v>Not Started</v>
      </c>
      <c r="F6" s="15" t="str">
        <f>=Dashboard!H28</f>
        <v>Day 1</v>
      </c>
      <c r="G6" s="15" t="str">
        <f>=Dashboard!I28</f>
        <v>TASK-DB-001</v>
      </c>
      <c r="H6" s="15" t="str">
        <f>=Dashboard!J28</f>
        <v>Pending</v>
      </c>
      <c r="I6" s="9" t="str">
        <f>=Dashboard!L28</f>
        <v>Support: Adithyan N. Collection indices</v>
      </c>
      <c r="J6" s="39">
        <v>46192</v>
      </c>
    </row>
    <row r="7" spans="1:10" x14ac:dyDescent="0.25">
      <c r="A7" s="13" t="str">
        <f>=Dashboard!A29</f>
        <v>TASK-DB-005</v>
      </c>
      <c r="B7" s="6" t="str">
        <f>=Dashboard!C29</f>
        <v>Complaint schema</v>
      </c>
      <c r="C7" s="6" t="str">
        <f>=Dashboard!D29</f>
        <v>Fathima Hana</v>
      </c>
      <c r="D7" s="13" t="str">
        <f>=Dashboard!E29</f>
        <v>Critical</v>
      </c>
      <c r="E7" s="13" t="str">
        <f>=Dashboard!F29</f>
        <v>Not Started</v>
      </c>
      <c r="F7" s="13" t="str">
        <f>=Dashboard!H29</f>
        <v>Day 2</v>
      </c>
      <c r="G7" s="13" t="str">
        <f>=Dashboard!I29</f>
        <v>TASK-DB-001</v>
      </c>
      <c r="H7" s="13" t="str">
        <f>=Dashboard!J29</f>
        <v>Pending</v>
      </c>
      <c r="I7" s="6" t="str">
        <f>=Dashboard!L29</f>
        <v>Support: Adithyan N. Handles attachments path strings</v>
      </c>
      <c r="J7" s="38">
        <v>46192</v>
      </c>
    </row>
    <row r="8" spans="1:10" x14ac:dyDescent="0.25">
      <c r="A8" s="15" t="str">
        <f>=Dashboard!A30</f>
        <v>TASK-DB-006</v>
      </c>
      <c r="B8" s="9" t="str">
        <f>=Dashboard!C30</f>
        <v>Complaint assignment schema</v>
      </c>
      <c r="C8" s="9" t="str">
        <f>=Dashboard!D30</f>
        <v>Fathima Hana</v>
      </c>
      <c r="D8" s="15" t="str">
        <f>=Dashboard!E30</f>
        <v>High</v>
      </c>
      <c r="E8" s="15" t="str">
        <f>=Dashboard!F30</f>
        <v>Not Started</v>
      </c>
      <c r="F8" s="15" t="str">
        <f>=Dashboard!H30</f>
        <v>Day 2</v>
      </c>
      <c r="G8" s="15" t="str">
        <f>=Dashboard!I30</f>
        <v>TASK-DB-005</v>
      </c>
      <c r="H8" s="15" t="str">
        <f>=Dashboard!J30</f>
        <v>Pending</v>
      </c>
      <c r="I8" s="9" t="str">
        <f>=Dashboard!L30</f>
        <v>Support: Adithyan N. References user and complaint</v>
      </c>
      <c r="J8" s="39">
        <v>46192</v>
      </c>
    </row>
    <row r="9" spans="1:10" x14ac:dyDescent="0.25">
      <c r="A9" s="13" t="str">
        <f>=Dashboard!A31</f>
        <v>TASK-DB-007</v>
      </c>
      <c r="B9" s="6" t="str">
        <f>=Dashboard!C31</f>
        <v>File tracking schema</v>
      </c>
      <c r="C9" s="6" t="str">
        <f>=Dashboard!D31</f>
        <v>Fathima Hana</v>
      </c>
      <c r="D9" s="13" t="str">
        <f>=Dashboard!E31</f>
        <v>Medium</v>
      </c>
      <c r="E9" s="13" t="str">
        <f>=Dashboard!F31</f>
        <v>Not Started</v>
      </c>
      <c r="F9" s="13" t="str">
        <f>=Dashboard!H31</f>
        <v>Day 3</v>
      </c>
      <c r="G9" s="13" t="str">
        <f>=Dashboard!I31</f>
        <v>TASK-DB-005</v>
      </c>
      <c r="H9" s="13" t="str">
        <f>=Dashboard!J31</f>
        <v>Pending</v>
      </c>
      <c r="I9" s="6" t="str">
        <f>=Dashboard!L31</f>
        <v>Support: Adithyan N. Tracks history steps</v>
      </c>
      <c r="J9" s="38">
        <v>46192</v>
      </c>
    </row>
    <row r="10" spans="1:10" x14ac:dyDescent="0.25">
      <c r="A10" s="15" t="str">
        <f>=Dashboard!A32</f>
        <v>TASK-DB-008</v>
      </c>
      <c r="B10" s="9" t="str">
        <f>=Dashboard!C32</f>
        <v>Feedback schema</v>
      </c>
      <c r="C10" s="9" t="str">
        <f>=Dashboard!D32</f>
        <v>Fathima Hana</v>
      </c>
      <c r="D10" s="15" t="str">
        <f>=Dashboard!E32</f>
        <v>Medium</v>
      </c>
      <c r="E10" s="15" t="str">
        <f>=Dashboard!F32</f>
        <v>Not Started</v>
      </c>
      <c r="F10" s="15" t="str">
        <f>=Dashboard!H32</f>
        <v>Day 3</v>
      </c>
      <c r="G10" s="15" t="str">
        <f>=Dashboard!I32</f>
        <v>TASK-DB-005</v>
      </c>
      <c r="H10" s="15" t="str">
        <f>=Dashboard!J32</f>
        <v>Pending</v>
      </c>
      <c r="I10" s="9" t="str">
        <f>=Dashboard!L32</f>
        <v>Support: Adithyan N. Constraints bounds checks</v>
      </c>
      <c r="J10" s="39">
        <v>46192</v>
      </c>
    </row>
    <row r="11" spans="1:10" x14ac:dyDescent="0.25">
      <c r="A11" s="13" t="str">
        <f>=Dashboard!A33</f>
        <v>TASK-DB-009</v>
      </c>
      <c r="B11" s="6" t="str">
        <f>=Dashboard!C33</f>
        <v>Attendance schema</v>
      </c>
      <c r="C11" s="6" t="str">
        <f>=Dashboard!D33</f>
        <v>Fathima Hana</v>
      </c>
      <c r="D11" s="13" t="str">
        <f>=Dashboard!E33</f>
        <v>High</v>
      </c>
      <c r="E11" s="13" t="str">
        <f>=Dashboard!F33</f>
        <v>Not Started</v>
      </c>
      <c r="F11" s="13" t="str">
        <f>=Dashboard!H33</f>
        <v>Day 4</v>
      </c>
      <c r="G11" s="13" t="str">
        <f>=Dashboard!I33</f>
        <v>TASK-DB-001</v>
      </c>
      <c r="H11" s="13" t="str">
        <f>=Dashboard!J33</f>
        <v>Pending</v>
      </c>
      <c r="I11" s="6" t="str">
        <f>=Dashboard!L33</f>
        <v>Support: Adithyan N. Biometric template matches parameters</v>
      </c>
      <c r="J11" s="38">
        <v>46192</v>
      </c>
    </row>
    <row r="12" spans="1:10" x14ac:dyDescent="0.25">
      <c r="A12" s="15" t="str">
        <f>=Dashboard!A34</f>
        <v>TASK-DB-010</v>
      </c>
      <c r="B12" s="9" t="str">
        <f>=Dashboard!C34</f>
        <v>Notification schema</v>
      </c>
      <c r="C12" s="9" t="str">
        <f>=Dashboard!D34</f>
        <v>Fathima Hana</v>
      </c>
      <c r="D12" s="15" t="str">
        <f>=Dashboard!E34</f>
        <v>Medium</v>
      </c>
      <c r="E12" s="15" t="str">
        <f>=Dashboard!F34</f>
        <v>Not Started</v>
      </c>
      <c r="F12" s="15" t="str">
        <f>=Dashboard!H34</f>
        <v>Day 5</v>
      </c>
      <c r="G12" s="15" t="str">
        <f>=Dashboard!I34</f>
        <v>TASK-DB-001</v>
      </c>
      <c r="H12" s="15" t="str">
        <f>=Dashboard!J34</f>
        <v>Pending</v>
      </c>
      <c r="I12" s="9" t="str">
        <f>=Dashboard!L34</f>
        <v>Support: Adithyan N. Unread indicators</v>
      </c>
      <c r="J12" s="39">
        <v>46192</v>
      </c>
    </row>
    <row r="13" spans="1:10" x14ac:dyDescent="0.25">
      <c r="A13" s="13" t="str">
        <f>=Dashboard!A35</f>
        <v>TASK-DB-011</v>
      </c>
      <c r="B13" s="6" t="str">
        <f>=Dashboard!C35</f>
        <v>Audit log schema</v>
      </c>
      <c r="C13" s="6" t="str">
        <f>=Dashboard!D35</f>
        <v>Fathima Hana</v>
      </c>
      <c r="D13" s="13" t="str">
        <f>=Dashboard!E35</f>
        <v>High</v>
      </c>
      <c r="E13" s="13" t="str">
        <f>=Dashboard!F35</f>
        <v>Not Started</v>
      </c>
      <c r="F13" s="13" t="str">
        <f>=Dashboard!H35</f>
        <v>Day 5</v>
      </c>
      <c r="G13" s="13" t="str">
        <f>=Dashboard!I35</f>
        <v>TASK-DB-001</v>
      </c>
      <c r="H13" s="13" t="str">
        <f>=Dashboard!J35</f>
        <v>Pending</v>
      </c>
      <c r="I13" s="6" t="str">
        <f>=Dashboard!L35</f>
        <v>Support: Adithyan N. Strict immutability controls</v>
      </c>
      <c r="J13" s="38">
        <v>46192</v>
      </c>
    </row>
    <row r="14" spans="1:10" x14ac:dyDescent="0.25">
      <c r="A14" s="15" t="str">
        <f>=Dashboard!A36</f>
        <v>TASK-DB-012</v>
      </c>
      <c r="B14" s="9" t="str">
        <f>=Dashboard!C36</f>
        <v>Chatbot session schema</v>
      </c>
      <c r="C14" s="9" t="str">
        <f>=Dashboard!D36</f>
        <v>Fathima Hana</v>
      </c>
      <c r="D14" s="15" t="str">
        <f>=Dashboard!E36</f>
        <v>Medium</v>
      </c>
      <c r="E14" s="15" t="str">
        <f>=Dashboard!F36</f>
        <v>Not Started</v>
      </c>
      <c r="F14" s="15" t="str">
        <f>=Dashboard!H36</f>
        <v>Day 4</v>
      </c>
      <c r="G14" s="15" t="str">
        <f>=Dashboard!I36</f>
        <v>TASK-DB-001</v>
      </c>
      <c r="H14" s="15" t="str">
        <f>=Dashboard!J36</f>
        <v>Pending</v>
      </c>
      <c r="I14" s="9" t="str">
        <f>=Dashboard!L36</f>
        <v>Support: Adithyan N. Session TTL setup</v>
      </c>
      <c r="J14" s="39">
        <v>46192</v>
      </c>
    </row>
    <row r="15" spans="1:10" x14ac:dyDescent="0.25">
      <c r="A15" s="13" t="str">
        <f>=Dashboard!A37</f>
        <v>TASK-DB-013</v>
      </c>
      <c r="B15" s="6" t="str">
        <f>=Dashboard!C37</f>
        <v>Indexes</v>
      </c>
      <c r="C15" s="6" t="str">
        <f>=Dashboard!D37</f>
        <v>Fathima Hana</v>
      </c>
      <c r="D15" s="13" t="str">
        <f>=Dashboard!E37</f>
        <v>High</v>
      </c>
      <c r="E15" s="13" t="str">
        <f>=Dashboard!F37</f>
        <v>Not Started</v>
      </c>
      <c r="F15" s="13" t="str">
        <f>=Dashboard!H37</f>
        <v>Day 1</v>
      </c>
      <c r="G15" s="13" t="str">
        <f>=Dashboard!I37</f>
        <v>TASK-DB-001</v>
      </c>
      <c r="H15" s="13" t="str">
        <f>=Dashboard!J37</f>
        <v>Pending</v>
      </c>
      <c r="I15" s="6" t="str">
        <f>=Dashboard!L37</f>
        <v>Support: Adithyan N. Index strategies verified</v>
      </c>
      <c r="J15" s="38">
        <v>46192</v>
      </c>
    </row>
    <row r="16" spans="1:10" x14ac:dyDescent="0.25">
      <c r="A16" s="15" t="str">
        <f>=Dashboard!A38</f>
        <v>TASK-DB-014</v>
      </c>
      <c r="B16" s="9" t="str">
        <f>=Dashboard!C38</f>
        <v>Relationships</v>
      </c>
      <c r="C16" s="9" t="str">
        <f>=Dashboard!D38</f>
        <v>Fathima Hana</v>
      </c>
      <c r="D16" s="15" t="str">
        <f>=Dashboard!E38</f>
        <v>Medium</v>
      </c>
      <c r="E16" s="15" t="str">
        <f>=Dashboard!F38</f>
        <v>Not Started</v>
      </c>
      <c r="F16" s="15" t="str">
        <f>=Dashboard!H38</f>
        <v>Day 1</v>
      </c>
      <c r="G16" s="15" t="str">
        <f>=Dashboard!I38</f>
        <v>TASK-DB-002</v>
      </c>
      <c r="H16" s="15" t="str">
        <f>=Dashboard!J38</f>
        <v>Pending</v>
      </c>
      <c r="I16" s="9" t="str">
        <f>=Dashboard!L38</f>
        <v>Support: Adithyan N. Strict Mongoose validations</v>
      </c>
      <c r="J16" s="39">
        <v>46192</v>
      </c>
    </row>
    <row r="17" spans="1:10" x14ac:dyDescent="0.25">
      <c r="A17" s="13" t="str">
        <f>=Dashboard!A39</f>
        <v>TASK-DB-015</v>
      </c>
      <c r="B17" s="6" t="str">
        <f>=Dashboard!C39</f>
        <v>Validation rules</v>
      </c>
      <c r="C17" s="6" t="str">
        <f>=Dashboard!D39</f>
        <v>Fathima Hana</v>
      </c>
      <c r="D17" s="13" t="str">
        <f>=Dashboard!E39</f>
        <v>High</v>
      </c>
      <c r="E17" s="13" t="str">
        <f>=Dashboard!F39</f>
        <v>Not Started</v>
      </c>
      <c r="F17" s="13" t="str">
        <f>=Dashboard!H39</f>
        <v>Day 1</v>
      </c>
      <c r="G17" s="13" t="str">
        <f>=Dashboard!I39</f>
        <v>TASK-DB-001</v>
      </c>
      <c r="H17" s="13" t="str">
        <f>=Dashboard!J39</f>
        <v>Pending</v>
      </c>
      <c r="I17" s="6" t="str">
        <f>=Dashboard!L39</f>
        <v>Support: Adithyan N. Input sanity checker</v>
      </c>
      <c r="J17" s="38">
        <v>46192</v>
      </c>
    </row>
    <row r="18" spans="1:10" x14ac:dyDescent="0.25">
      <c r="A18" s="15" t="str">
        <f>=Dashboard!A40</f>
        <v>TASK-DB-016</v>
      </c>
      <c r="B18" s="9" t="str">
        <f>=Dashboard!C40</f>
        <v>Query optimization</v>
      </c>
      <c r="C18" s="9" t="str">
        <f>=Dashboard!D40</f>
        <v>Fathima Hana</v>
      </c>
      <c r="D18" s="15" t="str">
        <f>=Dashboard!E40</f>
        <v>Medium</v>
      </c>
      <c r="E18" s="15" t="str">
        <f>=Dashboard!F40</f>
        <v>Not Started</v>
      </c>
      <c r="F18" s="15" t="str">
        <f>=Dashboard!H40</f>
        <v>Day 6</v>
      </c>
      <c r="G18" s="15" t="str">
        <f>=Dashboard!I40</f>
        <v>TASK-DB-013</v>
      </c>
      <c r="H18" s="15" t="str">
        <f>=Dashboard!J40</f>
        <v>Pending</v>
      </c>
      <c r="I18" s="9" t="str">
        <f>=Dashboard!L40</f>
        <v>Support: Adithyan N. Optimizing pipeline matches</v>
      </c>
      <c r="J18" s="39">
        <v>46192</v>
      </c>
    </row>
  </sheetData>
  <autoFilter ref="A2:J18"/>
  <mergeCells count="1">
    <mergeCell ref="A1:J1"/>
  </mergeCells>
  <conditionalFormatting sqref="E3:E18">
    <cfRule type="cellIs" dxfId="99" priority="1" operator="equal">
      <formula>"Completed"</formula>
    </cfRule>
    <cfRule type="cellIs" dxfId="100" priority="2" operator="equal">
      <formula>"In Progress"</formula>
    </cfRule>
    <cfRule type="cellIs" dxfId="101" priority="3" operator="equal">
      <formula>"Review"</formula>
    </cfRule>
    <cfRule type="cellIs" dxfId="102" priority="4" operator="equal">
      <formula>"Blocked"</formula>
    </cfRule>
    <cfRule type="cellIs" dxfId="103" priority="5" operator="equal">
      <formula>"Not Started"</formula>
    </cfRule>
  </conditionalFormatting>
  <conditionalFormatting sqref="D3:D18">
    <cfRule type="cellIs" dxfId="104" priority="6" operator="equal">
      <formula>"Critical"</formula>
    </cfRule>
    <cfRule type="cellIs" dxfId="105" priority="7" operator="equal">
      <formula>"High"</formula>
    </cfRule>
    <cfRule type="cellIs" dxfId="106" priority="8" operator="equal">
      <formula>"Medium"</formula>
    </cfRule>
    <cfRule type="cellIs" dxfId="107" priority="9" operator="equal">
      <formula>"Low"</formula>
    </cfRule>
  </conditionalFormatting>
  <dataValidations count="4">
    <dataValidation type="list" allowBlank="1" sqref="D10:D18">
      <formula1>"Critical,High,Medium,Low"</formula1>
    </dataValidation>
    <dataValidation type="list" allowBlank="1" sqref="D3:D18">
      <formula1>"Critical,High,Medium,Low"</formula1>
    </dataValidation>
    <dataValidation type="list" allowBlank="1" sqref="E10:E18">
      <formula1>"Not Started,In Progress,Review,Completed,Blocked"</formula1>
    </dataValidation>
    <dataValidation type="list" allowBlank="1" sqref="E3:E18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7" t="s">
        <v>476</v>
      </c>
      <c r="B1" s="37"/>
      <c r="C1" s="37"/>
      <c r="D1" s="37"/>
      <c r="E1" s="37"/>
      <c r="F1" s="37"/>
      <c r="G1" s="37"/>
      <c r="H1" s="37"/>
      <c r="I1" s="37"/>
      <c r="J1" s="37"/>
    </row>
    <row r="2" ht="26" customHeight="1" spans="1:10" x14ac:dyDescent="0.25">
      <c r="A2" s="12" t="s">
        <v>43</v>
      </c>
      <c r="B2" s="12" t="s">
        <v>45</v>
      </c>
      <c r="C2" s="12" t="s">
        <v>46</v>
      </c>
      <c r="D2" s="12" t="s">
        <v>47</v>
      </c>
      <c r="E2" s="12" t="s">
        <v>48</v>
      </c>
      <c r="F2" s="12" t="s">
        <v>50</v>
      </c>
      <c r="G2" s="12" t="s">
        <v>51</v>
      </c>
      <c r="H2" s="12" t="s">
        <v>52</v>
      </c>
      <c r="I2" s="12" t="s">
        <v>54</v>
      </c>
      <c r="J2" s="12" t="s">
        <v>473</v>
      </c>
    </row>
    <row r="3" spans="1:10" x14ac:dyDescent="0.25">
      <c r="A3" s="13" t="str">
        <f>=Dashboard!A85</f>
        <v>TASK-AI-001</v>
      </c>
      <c r="B3" s="6" t="str">
        <f>=Dashboard!C85</f>
        <v>Gemini integration</v>
      </c>
      <c r="C3" s="6" t="str">
        <f>=Dashboard!D85</f>
        <v>Muhammed Sadik KT</v>
      </c>
      <c r="D3" s="13" t="str">
        <f>=Dashboard!E85</f>
        <v>High</v>
      </c>
      <c r="E3" s="13" t="str">
        <f>=Dashboard!F85</f>
        <v>Not Started</v>
      </c>
      <c r="F3" s="13" t="str">
        <f>=Dashboard!H85</f>
        <v>Day 4</v>
      </c>
      <c r="G3" s="13" t="str">
        <f>=Dashboard!I85</f>
        <v>None</v>
      </c>
      <c r="H3" s="13" t="str">
        <f>=Dashboard!J85</f>
        <v>Pending</v>
      </c>
      <c r="I3" s="6" t="str">
        <f>=Dashboard!L85</f>
        <v>RAG context grounding middleware</v>
      </c>
      <c r="J3" s="38">
        <v>46192</v>
      </c>
    </row>
    <row r="4" spans="1:10" x14ac:dyDescent="0.25">
      <c r="A4" s="15" t="str">
        <f>=Dashboard!A86</f>
        <v>TASK-AI-002</v>
      </c>
      <c r="B4" s="9" t="str">
        <f>=Dashboard!C86</f>
        <v>Prompt engineering</v>
      </c>
      <c r="C4" s="9" t="str">
        <f>=Dashboard!D86</f>
        <v>Muhammed Sadik KT</v>
      </c>
      <c r="D4" s="15" t="str">
        <f>=Dashboard!E86</f>
        <v>Medium</v>
      </c>
      <c r="E4" s="15" t="str">
        <f>=Dashboard!F86</f>
        <v>Not Started</v>
      </c>
      <c r="F4" s="15" t="str">
        <f>=Dashboard!H86</f>
        <v>Day 4</v>
      </c>
      <c r="G4" s="15" t="str">
        <f>=Dashboard!I86</f>
        <v>TASK-AI-001</v>
      </c>
      <c r="H4" s="15" t="str">
        <f>=Dashboard!J86</f>
        <v>Pending</v>
      </c>
      <c r="I4" s="9" t="str">
        <f>=Dashboard!L86</f>
        <v>Strict grounding bounds</v>
      </c>
      <c r="J4" s="39">
        <v>46192</v>
      </c>
    </row>
    <row r="5" spans="1:10" x14ac:dyDescent="0.25">
      <c r="A5" s="13" t="str">
        <f>=Dashboard!A87</f>
        <v>TASK-AI-003</v>
      </c>
      <c r="B5" s="6" t="str">
        <f>=Dashboard!C87</f>
        <v>Chatbot API</v>
      </c>
      <c r="C5" s="6" t="str">
        <f>=Dashboard!D87</f>
        <v>Muhammed Sadik KT</v>
      </c>
      <c r="D5" s="13" t="str">
        <f>=Dashboard!E87</f>
        <v>High</v>
      </c>
      <c r="E5" s="13" t="str">
        <f>=Dashboard!F87</f>
        <v>Not Started</v>
      </c>
      <c r="F5" s="13" t="str">
        <f>=Dashboard!H87</f>
        <v>Day 4</v>
      </c>
      <c r="G5" s="13" t="str">
        <f>=Dashboard!I87</f>
        <v>TASK-AI-001</v>
      </c>
      <c r="H5" s="13" t="str">
        <f>=Dashboard!J87</f>
        <v>Pending</v>
      </c>
      <c r="I5" s="6" t="str">
        <f>=Dashboard!L87</f>
        <v>Logs sessions to chatbot DB logs</v>
      </c>
      <c r="J5" s="38">
        <v>46192</v>
      </c>
    </row>
    <row r="6" spans="1:10" x14ac:dyDescent="0.25">
      <c r="A6" s="15" t="str">
        <f>=Dashboard!A88</f>
        <v>TASK-AI-004</v>
      </c>
      <c r="B6" s="9" t="str">
        <f>=Dashboard!C88</f>
        <v>OCR service</v>
      </c>
      <c r="C6" s="9" t="str">
        <f>=Dashboard!D88</f>
        <v>Muhammed Sadik KT</v>
      </c>
      <c r="D6" s="15" t="str">
        <f>=Dashboard!E88</f>
        <v>Medium</v>
      </c>
      <c r="E6" s="15" t="str">
        <f>=Dashboard!F88</f>
        <v>Not Started</v>
      </c>
      <c r="F6" s="15" t="str">
        <f>=Dashboard!H88</f>
        <v>Day 5</v>
      </c>
      <c r="G6" s="15" t="str">
        <f>=Dashboard!I88</f>
        <v>None</v>
      </c>
      <c r="H6" s="15" t="str">
        <f>=Dashboard!J88</f>
        <v>Pending</v>
      </c>
      <c r="I6" s="9" t="str">
        <f>=Dashboard!L88</f>
        <v>Sandbox process execution setup</v>
      </c>
      <c r="J6" s="39">
        <v>46192</v>
      </c>
    </row>
    <row r="7" spans="1:10" x14ac:dyDescent="0.25">
      <c r="A7" s="13" t="str">
        <f>=Dashboard!A89</f>
        <v>TASK-AI-005</v>
      </c>
      <c r="B7" s="6" t="str">
        <f>=Dashboard!C89</f>
        <v>OCR validation</v>
      </c>
      <c r="C7" s="6" t="str">
        <f>=Dashboard!D89</f>
        <v>Muhammed Sadik KT</v>
      </c>
      <c r="D7" s="13" t="str">
        <f>=Dashboard!E89</f>
        <v>Medium</v>
      </c>
      <c r="E7" s="13" t="str">
        <f>=Dashboard!F89</f>
        <v>Not Started</v>
      </c>
      <c r="F7" s="13" t="str">
        <f>=Dashboard!H89</f>
        <v>Day 5</v>
      </c>
      <c r="G7" s="13" t="str">
        <f>=Dashboard!I89</f>
        <v>TASK-AI-004</v>
      </c>
      <c r="H7" s="13" t="str">
        <f>=Dashboard!J89</f>
        <v>Pending</v>
      </c>
      <c r="I7" s="6" t="str">
        <f>=Dashboard!L89</f>
        <v>Verify metadata matching limits</v>
      </c>
      <c r="J7" s="38">
        <v>46192</v>
      </c>
    </row>
    <row r="8" spans="1:10" x14ac:dyDescent="0.25">
      <c r="A8" s="15" t="str">
        <f>=Dashboard!A90</f>
        <v>TASK-AI-006</v>
      </c>
      <c r="B8" s="9" t="str">
        <f>=Dashboard!C90</f>
        <v>Face recognition core</v>
      </c>
      <c r="C8" s="9" t="str">
        <f>=Dashboard!D90</f>
        <v>Muhammed Sadik KT</v>
      </c>
      <c r="D8" s="15" t="str">
        <f>=Dashboard!E90</f>
        <v>Critical</v>
      </c>
      <c r="E8" s="15" t="str">
        <f>=Dashboard!F90</f>
        <v>Not Started</v>
      </c>
      <c r="F8" s="15" t="str">
        <f>=Dashboard!H90</f>
        <v>Day 4</v>
      </c>
      <c r="G8" s="15" t="str">
        <f>=Dashboard!I90</f>
        <v>None</v>
      </c>
      <c r="H8" s="15" t="str">
        <f>=Dashboard!J90</f>
        <v>Pending</v>
      </c>
      <c r="I8" s="9" t="str">
        <f>=Dashboard!L90</f>
        <v>Volatile memory calculations</v>
      </c>
      <c r="J8" s="39">
        <v>46192</v>
      </c>
    </row>
    <row r="9" spans="1:10" x14ac:dyDescent="0.25">
      <c r="A9" s="13" t="str">
        <f>=Dashboard!A91</f>
        <v>TASK-AI-007</v>
      </c>
      <c r="B9" s="6" t="str">
        <f>=Dashboard!C91</f>
        <v>Attendance recognition service</v>
      </c>
      <c r="C9" s="6" t="str">
        <f>=Dashboard!D91</f>
        <v>Muhammed Sadik KT</v>
      </c>
      <c r="D9" s="13" t="str">
        <f>=Dashboard!E91</f>
        <v>High</v>
      </c>
      <c r="E9" s="13" t="str">
        <f>=Dashboard!F91</f>
        <v>Not Started</v>
      </c>
      <c r="F9" s="13" t="str">
        <f>=Dashboard!H91</f>
        <v>Day 4</v>
      </c>
      <c r="G9" s="13" t="str">
        <f>=Dashboard!I91</f>
        <v>TASK-AI-006</v>
      </c>
      <c r="H9" s="13" t="str">
        <f>=Dashboard!J91</f>
        <v>Pending</v>
      </c>
      <c r="I9" s="6" t="str">
        <f>=Dashboard!L91</f>
        <v>Liveness score validation criteria check</v>
      </c>
      <c r="J9" s="38">
        <v>46192</v>
      </c>
    </row>
    <row r="10" spans="1:10" x14ac:dyDescent="0.25">
      <c r="A10" s="15" t="str">
        <f>=Dashboard!A92</f>
        <v>TASK-AI-008</v>
      </c>
      <c r="B10" s="9" t="str">
        <f>=Dashboard!C92</f>
        <v>AI testing</v>
      </c>
      <c r="C10" s="9" t="str">
        <f>=Dashboard!D92</f>
        <v>Muhammed Sadik KT</v>
      </c>
      <c r="D10" s="15" t="str">
        <f>=Dashboard!E92</f>
        <v>Medium</v>
      </c>
      <c r="E10" s="15" t="str">
        <f>=Dashboard!F92</f>
        <v>Not Started</v>
      </c>
      <c r="F10" s="15" t="str">
        <f>=Dashboard!H92</f>
        <v>Day 5</v>
      </c>
      <c r="G10" s="15" t="str">
        <f>=Dashboard!I92</f>
        <v>TASK-AI-007</v>
      </c>
      <c r="H10" s="15" t="str">
        <f>=Dashboard!J92</f>
        <v>Pending</v>
      </c>
      <c r="I10" s="9" t="str">
        <f>=Dashboard!L92</f>
        <v>Checks accuracy scales</v>
      </c>
      <c r="J10" s="39">
        <v>46192</v>
      </c>
    </row>
    <row r="11" spans="1:10" x14ac:dyDescent="0.25">
      <c r="A11" s="13" t="str">
        <f>=Dashboard!A93</f>
        <v>TASK-AI-009</v>
      </c>
      <c r="B11" s="6" t="str">
        <f>=Dashboard!C93</f>
        <v>Response optimization</v>
      </c>
      <c r="C11" s="6" t="str">
        <f>=Dashboard!D93</f>
        <v>Muhammed Sadik KT</v>
      </c>
      <c r="D11" s="13" t="str">
        <f>=Dashboard!E93</f>
        <v>Medium</v>
      </c>
      <c r="E11" s="13" t="str">
        <f>=Dashboard!F93</f>
        <v>Not Started</v>
      </c>
      <c r="F11" s="13" t="str">
        <f>=Dashboard!H93</f>
        <v>Day 5</v>
      </c>
      <c r="G11" s="13" t="str">
        <f>=Dashboard!I93</f>
        <v>TASK-AI-002</v>
      </c>
      <c r="H11" s="13" t="str">
        <f>=Dashboard!J93</f>
        <v>Pending</v>
      </c>
      <c r="I11" s="6" t="str">
        <f>=Dashboard!L93</f>
        <v>RAG search optimizations</v>
      </c>
      <c r="J11" s="38">
        <v>46192</v>
      </c>
    </row>
  </sheetData>
  <autoFilter ref="A2:J11"/>
  <mergeCells count="1">
    <mergeCell ref="A1:J1"/>
  </mergeCells>
  <conditionalFormatting sqref="E3:E11">
    <cfRule type="cellIs" dxfId="108" priority="1" operator="equal">
      <formula>"Completed"</formula>
    </cfRule>
    <cfRule type="cellIs" dxfId="109" priority="2" operator="equal">
      <formula>"In Progress"</formula>
    </cfRule>
    <cfRule type="cellIs" dxfId="110" priority="3" operator="equal">
      <formula>"Review"</formula>
    </cfRule>
    <cfRule type="cellIs" dxfId="111" priority="4" operator="equal">
      <formula>"Blocked"</formula>
    </cfRule>
    <cfRule type="cellIs" dxfId="112" priority="5" operator="equal">
      <formula>"Not Started"</formula>
    </cfRule>
  </conditionalFormatting>
  <conditionalFormatting sqref="D3:D11">
    <cfRule type="cellIs" dxfId="113" priority="6" operator="equal">
      <formula>"Critical"</formula>
    </cfRule>
    <cfRule type="cellIs" dxfId="114" priority="7" operator="equal">
      <formula>"High"</formula>
    </cfRule>
    <cfRule type="cellIs" dxfId="115" priority="8" operator="equal">
      <formula>"Medium"</formula>
    </cfRule>
    <cfRule type="cellIs" dxfId="116" priority="9" operator="equal">
      <formula>"Low"</formula>
    </cfRule>
  </conditionalFormatting>
  <dataValidations count="4">
    <dataValidation type="list" allowBlank="1" sqref="D10:D11">
      <formula1>"Critical,High,Medium,Low"</formula1>
    </dataValidation>
    <dataValidation type="list" allowBlank="1" sqref="D3:D11">
      <formula1>"Critical,High,Medium,Low"</formula1>
    </dataValidation>
    <dataValidation type="list" allowBlank="1" sqref="E10:E11">
      <formula1>"Not Started,In Progress,Review,Completed,Blocked"</formula1>
    </dataValidation>
    <dataValidation type="list" allowBlank="1" sqref="E3:E11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7" t="s">
        <v>477</v>
      </c>
      <c r="B1" s="37"/>
      <c r="C1" s="37"/>
      <c r="D1" s="37"/>
      <c r="E1" s="37"/>
      <c r="F1" s="37"/>
      <c r="G1" s="37"/>
      <c r="H1" s="37"/>
      <c r="I1" s="37"/>
      <c r="J1" s="37"/>
    </row>
    <row r="2" ht="26" customHeight="1" spans="1:10" x14ac:dyDescent="0.25">
      <c r="A2" s="12" t="s">
        <v>43</v>
      </c>
      <c r="B2" s="12" t="s">
        <v>45</v>
      </c>
      <c r="C2" s="12" t="s">
        <v>46</v>
      </c>
      <c r="D2" s="12" t="s">
        <v>47</v>
      </c>
      <c r="E2" s="12" t="s">
        <v>48</v>
      </c>
      <c r="F2" s="12" t="s">
        <v>50</v>
      </c>
      <c r="G2" s="12" t="s">
        <v>51</v>
      </c>
      <c r="H2" s="12" t="s">
        <v>52</v>
      </c>
      <c r="I2" s="12" t="s">
        <v>54</v>
      </c>
      <c r="J2" s="12" t="s">
        <v>473</v>
      </c>
    </row>
    <row r="3" spans="1:10" x14ac:dyDescent="0.25">
      <c r="A3" s="13" t="str">
        <f>=Dashboard!A94</f>
        <v>TASK-FR-001</v>
      </c>
      <c r="B3" s="6" t="str">
        <f>=Dashboard!C94</f>
        <v>Dataset Collection</v>
      </c>
      <c r="C3" s="6" t="str">
        <f>=Dashboard!D94</f>
        <v>Fadi Ahmed</v>
      </c>
      <c r="D3" s="13" t="str">
        <f>=Dashboard!E94</f>
        <v>Medium</v>
      </c>
      <c r="E3" s="13" t="str">
        <f>=Dashboard!F94</f>
        <v>Not Started</v>
      </c>
      <c r="F3" s="13" t="str">
        <f>=Dashboard!H94</f>
        <v>Day 4</v>
      </c>
      <c r="G3" s="13" t="str">
        <f>=Dashboard!I94</f>
        <v>None</v>
      </c>
      <c r="H3" s="13" t="str">
        <f>=Dashboard!J94</f>
        <v>Pending</v>
      </c>
      <c r="I3" s="6" t="str">
        <f>=Dashboard!L94</f>
        <v>No images checked in repository</v>
      </c>
      <c r="J3" s="38">
        <v>46192</v>
      </c>
    </row>
    <row r="4" spans="1:10" x14ac:dyDescent="0.25">
      <c r="A4" s="15" t="str">
        <f>=Dashboard!A95</f>
        <v>TASK-FR-002</v>
      </c>
      <c r="B4" s="9" t="str">
        <f>=Dashboard!C95</f>
        <v>Prototype Refinement</v>
      </c>
      <c r="C4" s="9" t="str">
        <f>=Dashboard!D95</f>
        <v>Fadi Ahmed</v>
      </c>
      <c r="D4" s="15" t="str">
        <f>=Dashboard!E95</f>
        <v>High</v>
      </c>
      <c r="E4" s="15" t="str">
        <f>=Dashboard!F95</f>
        <v>Not Started</v>
      </c>
      <c r="F4" s="15" t="str">
        <f>=Dashboard!H95</f>
        <v>Day 4</v>
      </c>
      <c r="G4" s="15" t="str">
        <f>=Dashboard!I95</f>
        <v>TASK-AI-006</v>
      </c>
      <c r="H4" s="15" t="str">
        <f>=Dashboard!J95</f>
        <v>Pending</v>
      </c>
      <c r="I4" s="9" t="str">
        <f>=Dashboard!L95</f>
        <v>Anti-spoofing tests calibration</v>
      </c>
      <c r="J4" s="39">
        <v>46192</v>
      </c>
    </row>
    <row r="5" spans="1:10" x14ac:dyDescent="0.25">
      <c r="A5" s="13" t="str">
        <f>=Dashboard!A96</f>
        <v>TASK-FR-003</v>
      </c>
      <c r="B5" s="6" t="str">
        <f>=Dashboard!C96</f>
        <v>Camera Integration Testing</v>
      </c>
      <c r="C5" s="6" t="str">
        <f>=Dashboard!D96</f>
        <v>Fadi Ahmed</v>
      </c>
      <c r="D5" s="13" t="str">
        <f>=Dashboard!E96</f>
        <v>Medium</v>
      </c>
      <c r="E5" s="13" t="str">
        <f>=Dashboard!F96</f>
        <v>Not Started</v>
      </c>
      <c r="F5" s="13" t="str">
        <f>=Dashboard!H96</f>
        <v>Day 4</v>
      </c>
      <c r="G5" s="13" t="str">
        <f>=Dashboard!I96</f>
        <v>None</v>
      </c>
      <c r="H5" s="13" t="str">
        <f>=Dashboard!J96</f>
        <v>Pending</v>
      </c>
      <c r="I5" s="6" t="str">
        <f>=Dashboard!L96</f>
        <v>Confirm permissions logic</v>
      </c>
      <c r="J5" s="38">
        <v>46192</v>
      </c>
    </row>
    <row r="6" spans="1:10" x14ac:dyDescent="0.25">
      <c r="A6" s="15" t="str">
        <f>=Dashboard!A97</f>
        <v>TASK-FR-004</v>
      </c>
      <c r="B6" s="9" t="str">
        <f>=Dashboard!C97</f>
        <v>Attendance Workflow Testing</v>
      </c>
      <c r="C6" s="9" t="str">
        <f>=Dashboard!D97</f>
        <v>Fadi Ahmed</v>
      </c>
      <c r="D6" s="15" t="str">
        <f>=Dashboard!E97</f>
        <v>High</v>
      </c>
      <c r="E6" s="15" t="str">
        <f>=Dashboard!F97</f>
        <v>Not Started</v>
      </c>
      <c r="F6" s="15" t="str">
        <f>=Dashboard!H97</f>
        <v>Day 5</v>
      </c>
      <c r="G6" s="15" t="str">
        <f>=Dashboard!I97</f>
        <v>TASK-FR-003</v>
      </c>
      <c r="H6" s="15" t="str">
        <f>=Dashboard!J97</f>
        <v>Pending</v>
      </c>
      <c r="I6" s="9" t="str">
        <f>=Dashboard!L97</f>
        <v>Strict consent checker gating attendance validation</v>
      </c>
      <c r="J6" s="39">
        <v>46192</v>
      </c>
    </row>
    <row r="7" spans="1:10" x14ac:dyDescent="0.25">
      <c r="A7" s="13" t="str">
        <f>=Dashboard!A98</f>
        <v>TASK-FR-005</v>
      </c>
      <c r="B7" s="6" t="str">
        <f>=Dashboard!C98</f>
        <v>Recognition Accuracy Testing</v>
      </c>
      <c r="C7" s="6" t="str">
        <f>=Dashboard!D98</f>
        <v>Fadi Ahmed</v>
      </c>
      <c r="D7" s="13" t="str">
        <f>=Dashboard!E98</f>
        <v>High</v>
      </c>
      <c r="E7" s="13" t="str">
        <f>=Dashboard!F98</f>
        <v>Not Started</v>
      </c>
      <c r="F7" s="13" t="str">
        <f>=Dashboard!H98</f>
        <v>Day 5</v>
      </c>
      <c r="G7" s="13" t="str">
        <f>=Dashboard!I98</f>
        <v>TASK-FR-002</v>
      </c>
      <c r="H7" s="13" t="str">
        <f>=Dashboard!J98</f>
        <v>Pending</v>
      </c>
      <c r="I7" s="6" t="str">
        <f>=Dashboard!L98</f>
        <v>Audits against spoof attacks</v>
      </c>
      <c r="J7" s="38">
        <v>46192</v>
      </c>
    </row>
    <row r="8" spans="1:10" x14ac:dyDescent="0.25">
      <c r="A8" s="15" t="str">
        <f>=Dashboard!A99</f>
        <v>TASK-FR-006</v>
      </c>
      <c r="B8" s="9" t="str">
        <f>=Dashboard!C99</f>
        <v>Cross-Browser Camera Testing</v>
      </c>
      <c r="C8" s="9" t="str">
        <f>=Dashboard!D99</f>
        <v>Fadi Ahmed</v>
      </c>
      <c r="D8" s="15" t="str">
        <f>=Dashboard!E99</f>
        <v>Medium</v>
      </c>
      <c r="E8" s="15" t="str">
        <f>=Dashboard!F99</f>
        <v>Not Started</v>
      </c>
      <c r="F8" s="15" t="str">
        <f>=Dashboard!H99</f>
        <v>Day 6</v>
      </c>
      <c r="G8" s="15" t="str">
        <f>=Dashboard!I99</f>
        <v>TASK-FR-003</v>
      </c>
      <c r="H8" s="15" t="str">
        <f>=Dashboard!J99</f>
        <v>Pending</v>
      </c>
      <c r="I8" s="9" t="str">
        <f>=Dashboard!L99</f>
        <v>Webcam permissions tests on Safari/Firefox/Chrome</v>
      </c>
      <c r="J8" s="39">
        <v>46192</v>
      </c>
    </row>
    <row r="9" spans="1:10" x14ac:dyDescent="0.25">
      <c r="A9" s="13" t="str">
        <f>=Dashboard!A100</f>
        <v>TASK-FR-007</v>
      </c>
      <c r="B9" s="6" t="str">
        <f>=Dashboard!C100</f>
        <v>Scanner UI Review</v>
      </c>
      <c r="C9" s="6" t="str">
        <f>=Dashboard!D100</f>
        <v>Fadi Ahmed</v>
      </c>
      <c r="D9" s="13" t="str">
        <f>=Dashboard!E100</f>
        <v>Medium</v>
      </c>
      <c r="E9" s="13" t="str">
        <f>=Dashboard!F100</f>
        <v>Not Started</v>
      </c>
      <c r="F9" s="13" t="str">
        <f>=Dashboard!H100</f>
        <v>Day 4</v>
      </c>
      <c r="G9" s="13" t="str">
        <f>=Dashboard!I100</f>
        <v>None</v>
      </c>
      <c r="H9" s="13" t="str">
        <f>=Dashboard!J100</f>
        <v>Pending</v>
      </c>
      <c r="I9" s="6" t="str">
        <f>=Dashboard!L100</f>
        <v>UI responsiveness check</v>
      </c>
      <c r="J9" s="38">
        <v>46192</v>
      </c>
    </row>
    <row r="10" spans="1:10" x14ac:dyDescent="0.25">
      <c r="A10" s="15" t="str">
        <f>=Dashboard!A101</f>
        <v>TASK-FR-008</v>
      </c>
      <c r="B10" s="9" t="str">
        <f>=Dashboard!C101</f>
        <v>System Integration Testing</v>
      </c>
      <c r="C10" s="9" t="str">
        <f>=Dashboard!D101</f>
        <v>Fadi Ahmed</v>
      </c>
      <c r="D10" s="15" t="str">
        <f>=Dashboard!E101</f>
        <v>High</v>
      </c>
      <c r="E10" s="15" t="str">
        <f>=Dashboard!F101</f>
        <v>Not Started</v>
      </c>
      <c r="F10" s="15" t="str">
        <f>=Dashboard!H101</f>
        <v>Day 6</v>
      </c>
      <c r="G10" s="15" t="str">
        <f>=Dashboard!I101</f>
        <v>TASK-FR-004</v>
      </c>
      <c r="H10" s="15" t="str">
        <f>=Dashboard!J101</f>
        <v>Pending</v>
      </c>
      <c r="I10" s="9" t="str">
        <f>=Dashboard!L101</f>
        <v>Gating RBAC reviews verified</v>
      </c>
      <c r="J10" s="39">
        <v>46192</v>
      </c>
    </row>
    <row r="11" spans="1:10" x14ac:dyDescent="0.25">
      <c r="A11" s="13" t="str">
        <f>=Dashboard!A102</f>
        <v>TASK-FR-009</v>
      </c>
      <c r="B11" s="6" t="str">
        <f>=Dashboard!C102</f>
        <v>Camera Permission Testing</v>
      </c>
      <c r="C11" s="6" t="str">
        <f>=Dashboard!D102</f>
        <v>Fadi Ahmed</v>
      </c>
      <c r="D11" s="13" t="str">
        <f>=Dashboard!E102</f>
        <v>Medium</v>
      </c>
      <c r="E11" s="13" t="str">
        <f>=Dashboard!F102</f>
        <v>Not Started</v>
      </c>
      <c r="F11" s="13" t="str">
        <f>=Dashboard!H102</f>
        <v>Day 4</v>
      </c>
      <c r="G11" s="13" t="str">
        <f>=Dashboard!I102</f>
        <v>TASK-FR-003</v>
      </c>
      <c r="H11" s="13" t="str">
        <f>=Dashboard!J102</f>
        <v>Pending</v>
      </c>
      <c r="I11" s="6" t="str">
        <f>=Dashboard!L102</f>
        <v>Checks fallback options</v>
      </c>
      <c r="J11" s="38">
        <v>46192</v>
      </c>
    </row>
  </sheetData>
  <autoFilter ref="A2:J11"/>
  <mergeCells count="1">
    <mergeCell ref="A1:J1"/>
  </mergeCells>
  <conditionalFormatting sqref="E3:E11">
    <cfRule type="cellIs" dxfId="117" priority="1" operator="equal">
      <formula>"Completed"</formula>
    </cfRule>
    <cfRule type="cellIs" dxfId="118" priority="2" operator="equal">
      <formula>"In Progress"</formula>
    </cfRule>
    <cfRule type="cellIs" dxfId="119" priority="3" operator="equal">
      <formula>"Review"</formula>
    </cfRule>
    <cfRule type="cellIs" dxfId="120" priority="4" operator="equal">
      <formula>"Blocked"</formula>
    </cfRule>
    <cfRule type="cellIs" dxfId="121" priority="5" operator="equal">
      <formula>"Not Started"</formula>
    </cfRule>
  </conditionalFormatting>
  <conditionalFormatting sqref="D3:D11">
    <cfRule type="cellIs" dxfId="122" priority="6" operator="equal">
      <formula>"Critical"</formula>
    </cfRule>
    <cfRule type="cellIs" dxfId="123" priority="7" operator="equal">
      <formula>"High"</formula>
    </cfRule>
    <cfRule type="cellIs" dxfId="124" priority="8" operator="equal">
      <formula>"Medium"</formula>
    </cfRule>
    <cfRule type="cellIs" dxfId="125" priority="9" operator="equal">
      <formula>"Low"</formula>
    </cfRule>
  </conditionalFormatting>
  <dataValidations count="4">
    <dataValidation type="list" allowBlank="1" sqref="D10:D11">
      <formula1>"Critical,High,Medium,Low"</formula1>
    </dataValidation>
    <dataValidation type="list" allowBlank="1" sqref="D3:D11">
      <formula1>"Critical,High,Medium,Low"</formula1>
    </dataValidation>
    <dataValidation type="list" allowBlank="1" sqref="E10:E11">
      <formula1>"Not Started,In Progress,Review,Completed,Blocked"</formula1>
    </dataValidation>
    <dataValidation type="list" allowBlank="1" sqref="E3:E11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7" t="s">
        <v>478</v>
      </c>
      <c r="B1" s="37"/>
      <c r="C1" s="37"/>
      <c r="D1" s="37"/>
      <c r="E1" s="37"/>
      <c r="F1" s="37"/>
      <c r="G1" s="37"/>
      <c r="H1" s="37"/>
      <c r="I1" s="37"/>
      <c r="J1" s="37"/>
    </row>
    <row r="2" ht="26" customHeight="1" spans="1:10" x14ac:dyDescent="0.25">
      <c r="A2" s="12" t="s">
        <v>43</v>
      </c>
      <c r="B2" s="12" t="s">
        <v>45</v>
      </c>
      <c r="C2" s="12" t="s">
        <v>46</v>
      </c>
      <c r="D2" s="12" t="s">
        <v>47</v>
      </c>
      <c r="E2" s="12" t="s">
        <v>48</v>
      </c>
      <c r="F2" s="12" t="s">
        <v>50</v>
      </c>
      <c r="G2" s="12" t="s">
        <v>51</v>
      </c>
      <c r="H2" s="12" t="s">
        <v>52</v>
      </c>
      <c r="I2" s="12" t="s">
        <v>54</v>
      </c>
      <c r="J2" s="12" t="s">
        <v>473</v>
      </c>
    </row>
    <row r="3" spans="1:10" x14ac:dyDescent="0.25">
      <c r="A3" s="13" t="str">
        <f>=Dashboard!A103</f>
        <v>TASK-QA-001</v>
      </c>
      <c r="B3" s="6" t="str">
        <f>=Dashboard!C103</f>
        <v>Requirement traceability</v>
      </c>
      <c r="C3" s="6" t="str">
        <f>=Dashboard!D103</f>
        <v>Minha Palakkathodi</v>
      </c>
      <c r="D3" s="13" t="str">
        <f>=Dashboard!E103</f>
        <v>High</v>
      </c>
      <c r="E3" s="13" t="str">
        <f>=Dashboard!F103</f>
        <v>Not Started</v>
      </c>
      <c r="F3" s="13" t="str">
        <f>=Dashboard!H103</f>
        <v>Day 1</v>
      </c>
      <c r="G3" s="13" t="str">
        <f>=Dashboard!I103</f>
        <v>None</v>
      </c>
      <c r="H3" s="13" t="str">
        <f>=Dashboard!J103</f>
        <v>Pending</v>
      </c>
      <c r="I3" s="6" t="str">
        <f>=Dashboard!L103</f>
        <v>Master traceability index setup</v>
      </c>
      <c r="J3" s="38">
        <v>46192</v>
      </c>
    </row>
    <row r="4" spans="1:10" x14ac:dyDescent="0.25">
      <c r="A4" s="15" t="str">
        <f>=Dashboard!A104</f>
        <v>TASK-QA-002</v>
      </c>
      <c r="B4" s="9" t="str">
        <f>=Dashboard!C104</f>
        <v>Test case creation</v>
      </c>
      <c r="C4" s="9" t="str">
        <f>=Dashboard!D104</f>
        <v>Minha Palakkathodi</v>
      </c>
      <c r="D4" s="15" t="str">
        <f>=Dashboard!E104</f>
        <v>High</v>
      </c>
      <c r="E4" s="15" t="str">
        <f>=Dashboard!F104</f>
        <v>Not Started</v>
      </c>
      <c r="F4" s="15" t="str">
        <f>=Dashboard!H104</f>
        <v>Day 2</v>
      </c>
      <c r="G4" s="15" t="str">
        <f>=Dashboard!I104</f>
        <v>TASK-QA-001</v>
      </c>
      <c r="H4" s="15" t="str">
        <f>=Dashboard!J104</f>
        <v>Pending</v>
      </c>
      <c r="I4" s="9" t="str">
        <f>=Dashboard!L104</f>
        <v>Manual check sheets ready</v>
      </c>
      <c r="J4" s="39">
        <v>46192</v>
      </c>
    </row>
    <row r="5" spans="1:10" x14ac:dyDescent="0.25">
      <c r="A5" s="13" t="str">
        <f>=Dashboard!A105</f>
        <v>TASK-QA-003</v>
      </c>
      <c r="B5" s="6" t="str">
        <f>=Dashboard!C105</f>
        <v>UAT preparation</v>
      </c>
      <c r="C5" s="6" t="str">
        <f>=Dashboard!D105</f>
        <v>Minha Palakkathodi</v>
      </c>
      <c r="D5" s="13" t="str">
        <f>=Dashboard!E105</f>
        <v>High</v>
      </c>
      <c r="E5" s="13" t="str">
        <f>=Dashboard!F105</f>
        <v>Not Started</v>
      </c>
      <c r="F5" s="13" t="str">
        <f>=Dashboard!H105</f>
        <v>Day 5</v>
      </c>
      <c r="G5" s="13" t="str">
        <f>=Dashboard!I105</f>
        <v>None</v>
      </c>
      <c r="H5" s="13" t="str">
        <f>=Dashboard!J105</f>
        <v>Pending</v>
      </c>
      <c r="I5" s="6" t="str">
        <f>=Dashboard!L105</f>
        <v>Acceptance checklist templates</v>
      </c>
      <c r="J5" s="38">
        <v>46192</v>
      </c>
    </row>
    <row r="6" spans="1:10" x14ac:dyDescent="0.25">
      <c r="A6" s="15" t="str">
        <f>=Dashboard!A106</f>
        <v>TASK-QA-004</v>
      </c>
      <c r="B6" s="9" t="str">
        <f>=Dashboard!C106</f>
        <v>Documentation review</v>
      </c>
      <c r="C6" s="9" t="str">
        <f>=Dashboard!D106</f>
        <v>Minha Palakkathodi</v>
      </c>
      <c r="D6" s="15" t="str">
        <f>=Dashboard!E106</f>
        <v>Medium</v>
      </c>
      <c r="E6" s="15" t="str">
        <f>=Dashboard!F106</f>
        <v>Not Started</v>
      </c>
      <c r="F6" s="15" t="str">
        <f>=Dashboard!H106</f>
        <v>Day 7</v>
      </c>
      <c r="G6" s="15" t="str">
        <f>=Dashboard!I106</f>
        <v>None</v>
      </c>
      <c r="H6" s="15" t="str">
        <f>=Dashboard!J106</f>
        <v>Pending</v>
      </c>
      <c r="I6" s="9" t="str">
        <f>=Dashboard!L106</f>
        <v>Checks repository documents integrity</v>
      </c>
      <c r="J6" s="39">
        <v>46192</v>
      </c>
    </row>
    <row r="7" spans="1:10" x14ac:dyDescent="0.25">
      <c r="A7" s="13" t="str">
        <f>=Dashboard!A107</f>
        <v>TASK-QA-005</v>
      </c>
      <c r="B7" s="6" t="str">
        <f>=Dashboard!C107</f>
        <v>Security checklist review</v>
      </c>
      <c r="C7" s="6" t="str">
        <f>=Dashboard!D107</f>
        <v>Minha Palakkathodi</v>
      </c>
      <c r="D7" s="13" t="str">
        <f>=Dashboard!E107</f>
        <v>High</v>
      </c>
      <c r="E7" s="13" t="str">
        <f>=Dashboard!F107</f>
        <v>Not Started</v>
      </c>
      <c r="F7" s="13" t="str">
        <f>=Dashboard!H107</f>
        <v>Day 7</v>
      </c>
      <c r="G7" s="13" t="str">
        <f>=Dashboard!I107</f>
        <v>None</v>
      </c>
      <c r="H7" s="13" t="str">
        <f>=Dashboard!J107</f>
        <v>Pending</v>
      </c>
      <c r="I7" s="6" t="str">
        <f>=Dashboard!L107</f>
        <v>Checks details audits validation</v>
      </c>
      <c r="J7" s="38">
        <v>46192</v>
      </c>
    </row>
    <row r="8" spans="1:10" x14ac:dyDescent="0.25">
      <c r="A8" s="15" t="str">
        <f>=Dashboard!A108</f>
        <v>TASK-QA-006</v>
      </c>
      <c r="B8" s="9" t="str">
        <f>=Dashboard!C108</f>
        <v>QA reports</v>
      </c>
      <c r="C8" s="9" t="str">
        <f>=Dashboard!D108</f>
        <v>Minha Palakkathodi</v>
      </c>
      <c r="D8" s="15" t="str">
        <f>=Dashboard!E108</f>
        <v>Medium</v>
      </c>
      <c r="E8" s="15" t="str">
        <f>=Dashboard!F108</f>
        <v>Not Started</v>
      </c>
      <c r="F8" s="15" t="str">
        <f>=Dashboard!H108</f>
        <v>Day 6</v>
      </c>
      <c r="G8" s="15" t="str">
        <f>=Dashboard!I108</f>
        <v>None</v>
      </c>
      <c r="H8" s="15" t="str">
        <f>=Dashboard!J108</f>
        <v>Pending</v>
      </c>
      <c r="I8" s="9" t="str">
        <f>=Dashboard!L108</f>
        <v>Test pass metrics logs summary</v>
      </c>
      <c r="J8" s="39">
        <v>46192</v>
      </c>
    </row>
    <row r="9" spans="1:10" x14ac:dyDescent="0.25">
      <c r="A9" s="13" t="str">
        <f>=Dashboard!A109</f>
        <v>TASK-QA-007</v>
      </c>
      <c r="B9" s="6" t="str">
        <f>=Dashboard!C109</f>
        <v>Bug verification</v>
      </c>
      <c r="C9" s="6" t="str">
        <f>=Dashboard!D109</f>
        <v>Minha Palakkathodi</v>
      </c>
      <c r="D9" s="13" t="str">
        <f>=Dashboard!E109</f>
        <v>High</v>
      </c>
      <c r="E9" s="13" t="str">
        <f>=Dashboard!F109</f>
        <v>Not Started</v>
      </c>
      <c r="F9" s="13" t="str">
        <f>=Dashboard!H109</f>
        <v>Day 6</v>
      </c>
      <c r="G9" s="13" t="str">
        <f>=Dashboard!I109</f>
        <v>None</v>
      </c>
      <c r="H9" s="13" t="str">
        <f>=Dashboard!J109</f>
        <v>Pending</v>
      </c>
      <c r="I9" s="6" t="str">
        <f>=Dashboard!L109</f>
        <v>Verify fix statuses</v>
      </c>
      <c r="J9" s="38">
        <v>46192</v>
      </c>
    </row>
    <row r="10" spans="1:10" x14ac:dyDescent="0.25">
      <c r="A10" s="15" t="str">
        <f>=Dashboard!A110</f>
        <v>TASK-QA-008</v>
      </c>
      <c r="B10" s="9" t="str">
        <f>=Dashboard!C110</f>
        <v>Final documentation</v>
      </c>
      <c r="C10" s="9" t="str">
        <f>=Dashboard!D110</f>
        <v>Minha Palakkathodi</v>
      </c>
      <c r="D10" s="15" t="str">
        <f>=Dashboard!E110</f>
        <v>High</v>
      </c>
      <c r="E10" s="15" t="str">
        <f>=Dashboard!F110</f>
        <v>Not Started</v>
      </c>
      <c r="F10" s="15" t="str">
        <f>=Dashboard!H110</f>
        <v>Day 7</v>
      </c>
      <c r="G10" s="15" t="str">
        <f>=Dashboard!I110</f>
        <v>None</v>
      </c>
      <c r="H10" s="15" t="str">
        <f>=Dashboard!J110</f>
        <v>Pending</v>
      </c>
      <c r="I10" s="9" t="str">
        <f>=Dashboard!L110</f>
        <v>Complete architecture references</v>
      </c>
      <c r="J10" s="39">
        <v>46192</v>
      </c>
    </row>
    <row r="11" spans="1:10" x14ac:dyDescent="0.25">
      <c r="A11" s="13" t="str">
        <f>=Dashboard!A111</f>
        <v>TASK-QA-009</v>
      </c>
      <c r="B11" s="6" t="str">
        <f>=Dashboard!C111</f>
        <v>Handover documentation</v>
      </c>
      <c r="C11" s="6" t="str">
        <f>=Dashboard!D111</f>
        <v>Minha Palakkathodi</v>
      </c>
      <c r="D11" s="13" t="str">
        <f>=Dashboard!E111</f>
        <v>High</v>
      </c>
      <c r="E11" s="13" t="str">
        <f>=Dashboard!F111</f>
        <v>Not Started</v>
      </c>
      <c r="F11" s="13" t="str">
        <f>=Dashboard!H111</f>
        <v>Day 7</v>
      </c>
      <c r="G11" s="13" t="str">
        <f>=Dashboard!I111</f>
        <v>TASK-QA-008</v>
      </c>
      <c r="H11" s="13" t="str">
        <f>=Dashboard!J111</f>
        <v>Pending</v>
      </c>
      <c r="I11" s="6" t="str">
        <f>=Dashboard!L111</f>
        <v>Log logins and operational keys handover structures</v>
      </c>
      <c r="J11" s="38">
        <v>46192</v>
      </c>
    </row>
  </sheetData>
  <autoFilter ref="A2:J11"/>
  <mergeCells count="1">
    <mergeCell ref="A1:J1"/>
  </mergeCells>
  <conditionalFormatting sqref="E3:E11">
    <cfRule type="cellIs" dxfId="126" priority="1" operator="equal">
      <formula>"Completed"</formula>
    </cfRule>
    <cfRule type="cellIs" dxfId="127" priority="2" operator="equal">
      <formula>"In Progress"</formula>
    </cfRule>
    <cfRule type="cellIs" dxfId="128" priority="3" operator="equal">
      <formula>"Review"</formula>
    </cfRule>
    <cfRule type="cellIs" dxfId="129" priority="4" operator="equal">
      <formula>"Blocked"</formula>
    </cfRule>
    <cfRule type="cellIs" dxfId="130" priority="5" operator="equal">
      <formula>"Not Started"</formula>
    </cfRule>
  </conditionalFormatting>
  <conditionalFormatting sqref="D3:D11">
    <cfRule type="cellIs" dxfId="131" priority="6" operator="equal">
      <formula>"Critical"</formula>
    </cfRule>
    <cfRule type="cellIs" dxfId="132" priority="7" operator="equal">
      <formula>"High"</formula>
    </cfRule>
    <cfRule type="cellIs" dxfId="133" priority="8" operator="equal">
      <formula>"Medium"</formula>
    </cfRule>
    <cfRule type="cellIs" dxfId="134" priority="9" operator="equal">
      <formula>"Low"</formula>
    </cfRule>
  </conditionalFormatting>
  <dataValidations count="4">
    <dataValidation type="list" allowBlank="1" sqref="D10:D11">
      <formula1>"Critical,High,Medium,Low"</formula1>
    </dataValidation>
    <dataValidation type="list" allowBlank="1" sqref="D3:D11">
      <formula1>"Critical,High,Medium,Low"</formula1>
    </dataValidation>
    <dataValidation type="list" allowBlank="1" sqref="E10:E11">
      <formula1>"Not Started,In Progress,Review,Completed,Blocked"</formula1>
    </dataValidation>
    <dataValidation type="list" allowBlank="1" sqref="E3:E11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7" t="s">
        <v>479</v>
      </c>
      <c r="B1" s="37"/>
      <c r="C1" s="37"/>
      <c r="D1" s="37"/>
      <c r="E1" s="37"/>
      <c r="F1" s="37"/>
      <c r="G1" s="37"/>
      <c r="H1" s="37"/>
      <c r="I1" s="37"/>
      <c r="J1" s="37"/>
    </row>
    <row r="2" ht="26" customHeight="1" spans="1:10" x14ac:dyDescent="0.25">
      <c r="A2" s="12" t="s">
        <v>43</v>
      </c>
      <c r="B2" s="12" t="s">
        <v>45</v>
      </c>
      <c r="C2" s="12" t="s">
        <v>46</v>
      </c>
      <c r="D2" s="12" t="s">
        <v>47</v>
      </c>
      <c r="E2" s="12" t="s">
        <v>48</v>
      </c>
      <c r="F2" s="12" t="s">
        <v>50</v>
      </c>
      <c r="G2" s="12" t="s">
        <v>51</v>
      </c>
      <c r="H2" s="12" t="s">
        <v>52</v>
      </c>
      <c r="I2" s="12" t="s">
        <v>54</v>
      </c>
      <c r="J2" s="12" t="s">
        <v>473</v>
      </c>
    </row>
    <row r="3" spans="1:10" x14ac:dyDescent="0.25">
      <c r="A3" s="13" t="str">
        <f>=Dashboard!A16</f>
        <v>TASK-INF-001</v>
      </c>
      <c r="B3" s="6" t="str">
        <f>=Dashboard!C16</f>
        <v>Repository verification</v>
      </c>
      <c r="C3" s="6" t="str">
        <f>=Dashboard!D16</f>
        <v>Adithyan N + Muhammad Sanish</v>
      </c>
      <c r="D3" s="13" t="str">
        <f>=Dashboard!E16</f>
        <v>High</v>
      </c>
      <c r="E3" s="13" t="str">
        <f>=Dashboard!F16</f>
        <v>Not Started</v>
      </c>
      <c r="F3" s="13" t="str">
        <f>=Dashboard!H16</f>
        <v>Sprint 0</v>
      </c>
      <c r="G3" s="13" t="str">
        <f>=Dashboard!I16</f>
        <v>None</v>
      </c>
      <c r="H3" s="13" t="str">
        <f>=Dashboard!J16</f>
        <v>Pending</v>
      </c>
      <c r="I3" s="6" t="str">
        <f>=Dashboard!L16</f>
        <v>Check configuration files integrity</v>
      </c>
      <c r="J3" s="38">
        <v>46192</v>
      </c>
    </row>
    <row r="4" spans="1:10" x14ac:dyDescent="0.25">
      <c r="A4" s="15" t="str">
        <f>=Dashboard!A17</f>
        <v>TASK-INF-002</v>
      </c>
      <c r="B4" s="9" t="str">
        <f>=Dashboard!C17</f>
        <v>Git workflow setup</v>
      </c>
      <c r="C4" s="9" t="str">
        <f>=Dashboard!D17</f>
        <v>Adithyan N</v>
      </c>
      <c r="D4" s="15" t="str">
        <f>=Dashboard!E17</f>
        <v>High</v>
      </c>
      <c r="E4" s="15" t="str">
        <f>=Dashboard!F17</f>
        <v>Not Started</v>
      </c>
      <c r="F4" s="15" t="str">
        <f>=Dashboard!H17</f>
        <v>Sprint 0</v>
      </c>
      <c r="G4" s="15" t="str">
        <f>=Dashboard!I17</f>
        <v>None</v>
      </c>
      <c r="H4" s="15" t="str">
        <f>=Dashboard!J17</f>
        <v>Pending</v>
      </c>
      <c r="I4" s="9" t="str">
        <f>=Dashboard!L17</f>
        <v>Main/develop/feature branching rules</v>
      </c>
      <c r="J4" s="39">
        <v>46192</v>
      </c>
    </row>
    <row r="5" spans="1:10" x14ac:dyDescent="0.25">
      <c r="A5" s="13" t="str">
        <f>=Dashboard!A18</f>
        <v>TASK-INF-003</v>
      </c>
      <c r="B5" s="6" t="str">
        <f>=Dashboard!C18</f>
        <v>Branch setup</v>
      </c>
      <c r="C5" s="6" t="str">
        <f>=Dashboard!D18</f>
        <v>Adithyan N</v>
      </c>
      <c r="D5" s="13" t="str">
        <f>=Dashboard!E18</f>
        <v>High</v>
      </c>
      <c r="E5" s="13" t="str">
        <f>=Dashboard!F18</f>
        <v>Not Started</v>
      </c>
      <c r="F5" s="13" t="str">
        <f>=Dashboard!H18</f>
        <v>Sprint 0</v>
      </c>
      <c r="G5" s="13" t="str">
        <f>=Dashboard!I18</f>
        <v>TASK-INF-002</v>
      </c>
      <c r="H5" s="13" t="str">
        <f>=Dashboard!J18</f>
        <v>Pending</v>
      </c>
      <c r="I5" s="6" t="str">
        <f>=Dashboard!L18</f>
        <v>Initial pull request guidelines set</v>
      </c>
      <c r="J5" s="38">
        <v>46192</v>
      </c>
    </row>
    <row r="6" spans="1:10" x14ac:dyDescent="0.25">
      <c r="A6" s="15" t="str">
        <f>=Dashboard!A19</f>
        <v>TASK-INF-004</v>
      </c>
      <c r="B6" s="9" t="str">
        <f>=Dashboard!C19</f>
        <v>MongoDB Atlas setup</v>
      </c>
      <c r="C6" s="9" t="str">
        <f>=Dashboard!D19</f>
        <v>Adithyan N</v>
      </c>
      <c r="D6" s="15" t="str">
        <f>=Dashboard!E19</f>
        <v>Critical</v>
      </c>
      <c r="E6" s="15" t="str">
        <f>=Dashboard!F19</f>
        <v>Not Started</v>
      </c>
      <c r="F6" s="15" t="str">
        <f>=Dashboard!H19</f>
        <v>Sprint 0</v>
      </c>
      <c r="G6" s="15" t="str">
        <f>=Dashboard!I19</f>
        <v>None</v>
      </c>
      <c r="H6" s="15" t="str">
        <f>=Dashboard!J19</f>
        <v>Pending</v>
      </c>
      <c r="I6" s="9" t="str">
        <f>=Dashboard!L19</f>
        <v>IP whitelist rules configured</v>
      </c>
      <c r="J6" s="39">
        <v>46192</v>
      </c>
    </row>
    <row r="7" spans="1:10" x14ac:dyDescent="0.25">
      <c r="A7" s="13" t="str">
        <f>=Dashboard!A20</f>
        <v>TASK-INF-005</v>
      </c>
      <c r="B7" s="6" t="str">
        <f>=Dashboard!C20</f>
        <v>Environment variables</v>
      </c>
      <c r="C7" s="6" t="str">
        <f>=Dashboard!D20</f>
        <v>Muhammad Sanish</v>
      </c>
      <c r="D7" s="13" t="str">
        <f>=Dashboard!E20</f>
        <v>High</v>
      </c>
      <c r="E7" s="13" t="str">
        <f>=Dashboard!F20</f>
        <v>Not Started</v>
      </c>
      <c r="F7" s="13" t="str">
        <f>=Dashboard!H20</f>
        <v>Sprint 0</v>
      </c>
      <c r="G7" s="13" t="str">
        <f>=Dashboard!I20</f>
        <v>None</v>
      </c>
      <c r="H7" s="13" t="str">
        <f>=Dashboard!J20</f>
        <v>Pending</v>
      </c>
      <c r="I7" s="6" t="str">
        <f>=Dashboard!L20</f>
        <v>No secrets checked in</v>
      </c>
      <c r="J7" s="38">
        <v>46192</v>
      </c>
    </row>
    <row r="8" spans="1:10" x14ac:dyDescent="0.25">
      <c r="A8" s="15" t="str">
        <f>=Dashboard!A21</f>
        <v>TASK-INF-006</v>
      </c>
      <c r="B8" s="9" t="str">
        <f>=Dashboard!C21</f>
        <v>ESLint</v>
      </c>
      <c r="C8" s="9" t="str">
        <f>=Dashboard!D21</f>
        <v>Adithyan N</v>
      </c>
      <c r="D8" s="15" t="str">
        <f>=Dashboard!E21</f>
        <v>Medium</v>
      </c>
      <c r="E8" s="15" t="str">
        <f>=Dashboard!F21</f>
        <v>Not Started</v>
      </c>
      <c r="F8" s="15" t="str">
        <f>=Dashboard!H21</f>
        <v>Sprint 0</v>
      </c>
      <c r="G8" s="15" t="str">
        <f>=Dashboard!I21</f>
        <v>None</v>
      </c>
      <c r="H8" s="15" t="str">
        <f>=Dashboard!J21</f>
        <v>Pending</v>
      </c>
      <c r="I8" s="9" t="str">
        <f>=Dashboard!L21</f>
        <v>Static code styling checks active</v>
      </c>
      <c r="J8" s="39">
        <v>46192</v>
      </c>
    </row>
    <row r="9" spans="1:10" x14ac:dyDescent="0.25">
      <c r="A9" s="13" t="str">
        <f>=Dashboard!A22</f>
        <v>TASK-INF-007</v>
      </c>
      <c r="B9" s="6" t="str">
        <f>=Dashboard!C22</f>
        <v>Prettier</v>
      </c>
      <c r="C9" s="6" t="str">
        <f>=Dashboard!D22</f>
        <v>Adithyan N</v>
      </c>
      <c r="D9" s="13" t="str">
        <f>=Dashboard!E22</f>
        <v>Medium</v>
      </c>
      <c r="E9" s="13" t="str">
        <f>=Dashboard!F22</f>
        <v>Not Started</v>
      </c>
      <c r="F9" s="13" t="str">
        <f>=Dashboard!H22</f>
        <v>Sprint 0</v>
      </c>
      <c r="G9" s="13" t="str">
        <f>=Dashboard!I22</f>
        <v>None</v>
      </c>
      <c r="H9" s="13" t="str">
        <f>=Dashboard!J22</f>
        <v>Pending</v>
      </c>
      <c r="I9" s="6" t="str">
        <f>=Dashboard!L22</f>
        <v>Auto format on save verified</v>
      </c>
      <c r="J9" s="38">
        <v>46192</v>
      </c>
    </row>
    <row r="10" spans="1:10" x14ac:dyDescent="0.25">
      <c r="A10" s="15" t="str">
        <f>=Dashboard!A23</f>
        <v>TASK-INF-008</v>
      </c>
      <c r="B10" s="9" t="str">
        <f>=Dashboard!C23</f>
        <v>Logging infrastructure</v>
      </c>
      <c r="C10" s="9" t="str">
        <f>=Dashboard!D23</f>
        <v>Muhammad Sanish</v>
      </c>
      <c r="D10" s="15" t="str">
        <f>=Dashboard!E23</f>
        <v>Medium</v>
      </c>
      <c r="E10" s="15" t="str">
        <f>=Dashboard!F23</f>
        <v>Not Started</v>
      </c>
      <c r="F10" s="15" t="str">
        <f>=Dashboard!H23</f>
        <v>Day 1</v>
      </c>
      <c r="G10" s="15" t="str">
        <f>=Dashboard!I23</f>
        <v>TASK-INF-005</v>
      </c>
      <c r="H10" s="15" t="str">
        <f>=Dashboard!J23</f>
        <v>Pending</v>
      </c>
      <c r="I10" s="9" t="str">
        <f>=Dashboard!L23</f>
        <v>PII credentials redact scripts applied</v>
      </c>
      <c r="J10" s="39">
        <v>46192</v>
      </c>
    </row>
    <row r="11" spans="1:10" x14ac:dyDescent="0.25">
      <c r="A11" s="13" t="str">
        <f>=Dashboard!A24</f>
        <v>TASK-INF-009</v>
      </c>
      <c r="B11" s="6" t="str">
        <f>=Dashboard!C24</f>
        <v>Deployment preparation</v>
      </c>
      <c r="C11" s="6" t="str">
        <f>=Dashboard!D24</f>
        <v>Adithyan N + Muhammad Sanish</v>
      </c>
      <c r="D11" s="13" t="str">
        <f>=Dashboard!E24</f>
        <v>Medium</v>
      </c>
      <c r="E11" s="13" t="str">
        <f>=Dashboard!F24</f>
        <v>Not Started</v>
      </c>
      <c r="F11" s="13" t="str">
        <f>=Dashboard!H24</f>
        <v>Day 7</v>
      </c>
      <c r="G11" s="13" t="str">
        <f>=Dashboard!I24</f>
        <v>None</v>
      </c>
      <c r="H11" s="13" t="str">
        <f>=Dashboard!J24</f>
        <v>Pending</v>
      </c>
      <c r="I11" s="6" t="str">
        <f>=Dashboard!L24</f>
        <v>Production CORS policies configured</v>
      </c>
      <c r="J11" s="38">
        <v>46192</v>
      </c>
    </row>
  </sheetData>
  <autoFilter ref="A2:J11"/>
  <mergeCells count="1">
    <mergeCell ref="A1:J1"/>
  </mergeCells>
  <conditionalFormatting sqref="E3:E11">
    <cfRule type="cellIs" dxfId="135" priority="1" operator="equal">
      <formula>"Completed"</formula>
    </cfRule>
    <cfRule type="cellIs" dxfId="136" priority="2" operator="equal">
      <formula>"In Progress"</formula>
    </cfRule>
    <cfRule type="cellIs" dxfId="137" priority="3" operator="equal">
      <formula>"Review"</formula>
    </cfRule>
    <cfRule type="cellIs" dxfId="138" priority="4" operator="equal">
      <formula>"Blocked"</formula>
    </cfRule>
    <cfRule type="cellIs" dxfId="139" priority="5" operator="equal">
      <formula>"Not Started"</formula>
    </cfRule>
  </conditionalFormatting>
  <conditionalFormatting sqref="D3:D11">
    <cfRule type="cellIs" dxfId="140" priority="6" operator="equal">
      <formula>"Critical"</formula>
    </cfRule>
    <cfRule type="cellIs" dxfId="141" priority="7" operator="equal">
      <formula>"High"</formula>
    </cfRule>
    <cfRule type="cellIs" dxfId="142" priority="8" operator="equal">
      <formula>"Medium"</formula>
    </cfRule>
    <cfRule type="cellIs" dxfId="143" priority="9" operator="equal">
      <formula>"Low"</formula>
    </cfRule>
  </conditionalFormatting>
  <dataValidations count="4">
    <dataValidation type="list" allowBlank="1" sqref="D10:D11">
      <formula1>"Critical,High,Medium,Low"</formula1>
    </dataValidation>
    <dataValidation type="list" allowBlank="1" sqref="D3:D11">
      <formula1>"Critical,High,Medium,Low"</formula1>
    </dataValidation>
    <dataValidation type="list" allowBlank="1" sqref="E10:E11">
      <formula1>"Not Started,In Progress,Review,Completed,Blocked"</formula1>
    </dataValidation>
    <dataValidation type="list" allowBlank="1" sqref="E3:E11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8" width="40" customWidth="1"/>
  </cols>
  <sheetData>
    <row r="1" ht="24" customHeight="1" spans="1:8" x14ac:dyDescent="0.25">
      <c r="A1" s="40" t="s">
        <v>480</v>
      </c>
      <c r="B1" s="40"/>
      <c r="C1" s="40"/>
      <c r="D1" s="40"/>
      <c r="E1" s="40"/>
      <c r="F1" s="40"/>
      <c r="G1" s="40"/>
      <c r="H1" s="40"/>
    </row>
    <row r="2" ht="26" customHeight="1" spans="1:8" x14ac:dyDescent="0.25">
      <c r="A2" s="12" t="s">
        <v>481</v>
      </c>
      <c r="B2" s="12" t="s">
        <v>482</v>
      </c>
      <c r="C2" s="12" t="s">
        <v>483</v>
      </c>
      <c r="D2" s="12" t="s">
        <v>484</v>
      </c>
      <c r="E2" s="12" t="s">
        <v>485</v>
      </c>
      <c r="F2" s="12" t="s">
        <v>48</v>
      </c>
      <c r="G2" s="12" t="s">
        <v>46</v>
      </c>
      <c r="H2" s="12" t="s">
        <v>486</v>
      </c>
    </row>
    <row r="3" spans="1:8" x14ac:dyDescent="0.25">
      <c r="A3" s="13" t="s">
        <v>487</v>
      </c>
      <c r="B3" s="6" t="s">
        <v>27</v>
      </c>
      <c r="C3" s="6" t="s">
        <v>24</v>
      </c>
      <c r="D3" s="6" t="s">
        <v>488</v>
      </c>
      <c r="E3" s="6" t="s">
        <v>489</v>
      </c>
      <c r="F3" s="13" t="s">
        <v>61</v>
      </c>
      <c r="G3" s="13" t="s">
        <v>26</v>
      </c>
      <c r="H3" s="6" t="s">
        <v>490</v>
      </c>
    </row>
    <row r="4" spans="1:8" x14ac:dyDescent="0.25">
      <c r="A4" s="15" t="s">
        <v>491</v>
      </c>
      <c r="B4" s="9" t="s">
        <v>27</v>
      </c>
      <c r="C4" s="9" t="s">
        <v>24</v>
      </c>
      <c r="D4" s="9" t="s">
        <v>492</v>
      </c>
      <c r="E4" s="9" t="s">
        <v>493</v>
      </c>
      <c r="F4" s="15" t="s">
        <v>61</v>
      </c>
      <c r="G4" s="15" t="s">
        <v>26</v>
      </c>
      <c r="H4" s="9" t="s">
        <v>494</v>
      </c>
    </row>
    <row r="5" spans="1:8" x14ac:dyDescent="0.25">
      <c r="A5" s="13" t="s">
        <v>495</v>
      </c>
      <c r="B5" s="6" t="s">
        <v>27</v>
      </c>
      <c r="C5" s="6" t="s">
        <v>24</v>
      </c>
      <c r="D5" s="6" t="s">
        <v>496</v>
      </c>
      <c r="E5" s="6" t="s">
        <v>497</v>
      </c>
      <c r="F5" s="13" t="s">
        <v>61</v>
      </c>
      <c r="G5" s="13" t="s">
        <v>26</v>
      </c>
      <c r="H5" s="6" t="s">
        <v>498</v>
      </c>
    </row>
    <row r="6" spans="1:8" x14ac:dyDescent="0.25">
      <c r="A6" s="15" t="s">
        <v>499</v>
      </c>
      <c r="B6" s="9" t="s">
        <v>27</v>
      </c>
      <c r="C6" s="9" t="s">
        <v>24</v>
      </c>
      <c r="D6" s="9" t="s">
        <v>500</v>
      </c>
      <c r="E6" s="9" t="s">
        <v>501</v>
      </c>
      <c r="F6" s="15" t="s">
        <v>61</v>
      </c>
      <c r="G6" s="15" t="s">
        <v>26</v>
      </c>
      <c r="H6" s="9" t="s">
        <v>502</v>
      </c>
    </row>
    <row r="7" spans="1:8" x14ac:dyDescent="0.25">
      <c r="A7" s="13" t="s">
        <v>503</v>
      </c>
      <c r="B7" s="6" t="s">
        <v>24</v>
      </c>
      <c r="C7" s="6" t="s">
        <v>30</v>
      </c>
      <c r="D7" s="6" t="s">
        <v>504</v>
      </c>
      <c r="E7" s="6" t="s">
        <v>505</v>
      </c>
      <c r="F7" s="13" t="s">
        <v>61</v>
      </c>
      <c r="G7" s="13" t="s">
        <v>32</v>
      </c>
      <c r="H7" s="6" t="s">
        <v>506</v>
      </c>
    </row>
    <row r="8" spans="1:8" x14ac:dyDescent="0.25">
      <c r="A8" s="15" t="s">
        <v>507</v>
      </c>
      <c r="B8" s="9" t="s">
        <v>24</v>
      </c>
      <c r="C8" s="9" t="s">
        <v>508</v>
      </c>
      <c r="D8" s="9" t="s">
        <v>509</v>
      </c>
      <c r="E8" s="9" t="s">
        <v>510</v>
      </c>
      <c r="F8" s="15" t="s">
        <v>61</v>
      </c>
      <c r="G8" s="15" t="s">
        <v>32</v>
      </c>
      <c r="H8" s="9" t="s">
        <v>511</v>
      </c>
    </row>
    <row r="9" spans="1:8" x14ac:dyDescent="0.25">
      <c r="A9" s="13" t="s">
        <v>512</v>
      </c>
      <c r="B9" s="6" t="s">
        <v>24</v>
      </c>
      <c r="C9" s="6" t="s">
        <v>508</v>
      </c>
      <c r="D9" s="6" t="s">
        <v>513</v>
      </c>
      <c r="E9" s="6" t="s">
        <v>514</v>
      </c>
      <c r="F9" s="13" t="s">
        <v>61</v>
      </c>
      <c r="G9" s="13" t="s">
        <v>32</v>
      </c>
      <c r="H9" s="6" t="s">
        <v>515</v>
      </c>
    </row>
    <row r="10" spans="1:8" x14ac:dyDescent="0.25">
      <c r="A10" s="15" t="s">
        <v>516</v>
      </c>
      <c r="B10" s="9" t="s">
        <v>27</v>
      </c>
      <c r="C10" s="9" t="s">
        <v>24</v>
      </c>
      <c r="D10" s="9" t="s">
        <v>517</v>
      </c>
      <c r="E10" s="9" t="s">
        <v>518</v>
      </c>
      <c r="F10" s="15" t="s">
        <v>61</v>
      </c>
      <c r="G10" s="15" t="s">
        <v>26</v>
      </c>
      <c r="H10" s="9" t="s">
        <v>519</v>
      </c>
    </row>
    <row r="11" spans="1:8" x14ac:dyDescent="0.25">
      <c r="A11" s="13" t="s">
        <v>520</v>
      </c>
      <c r="B11" s="6" t="s">
        <v>24</v>
      </c>
      <c r="C11" s="6" t="s">
        <v>508</v>
      </c>
      <c r="D11" s="6" t="s">
        <v>521</v>
      </c>
      <c r="E11" s="6" t="s">
        <v>522</v>
      </c>
      <c r="F11" s="13" t="s">
        <v>61</v>
      </c>
      <c r="G11" s="13" t="s">
        <v>32</v>
      </c>
      <c r="H11" s="6" t="s">
        <v>523</v>
      </c>
    </row>
    <row r="12" spans="1:8" x14ac:dyDescent="0.25">
      <c r="A12" s="15" t="s">
        <v>524</v>
      </c>
      <c r="B12" s="9" t="s">
        <v>27</v>
      </c>
      <c r="C12" s="9" t="s">
        <v>24</v>
      </c>
      <c r="D12" s="9" t="s">
        <v>525</v>
      </c>
      <c r="E12" s="9" t="s">
        <v>526</v>
      </c>
      <c r="F12" s="15" t="s">
        <v>61</v>
      </c>
      <c r="G12" s="15" t="s">
        <v>26</v>
      </c>
      <c r="H12" s="9" t="s">
        <v>527</v>
      </c>
    </row>
  </sheetData>
  <autoFilter ref="A2:H12"/>
  <mergeCells count="1">
    <mergeCell ref="A1:H1"/>
  </mergeCells>
  <conditionalFormatting sqref="F3:F12">
    <cfRule type="cellIs" dxfId="144" priority="1" operator="equal">
      <formula>"Completed"</formula>
    </cfRule>
    <cfRule type="cellIs" dxfId="145" priority="2" operator="equal">
      <formula>"In Progress"</formula>
    </cfRule>
    <cfRule type="cellIs" dxfId="146" priority="3" operator="equal">
      <formula>"Review"</formula>
    </cfRule>
    <cfRule type="cellIs" dxfId="147" priority="4" operator="equal">
      <formula>"Blocked"</formula>
    </cfRule>
    <cfRule type="cellIs" dxfId="148" priority="5" operator="equal">
      <formula>"Not Started"</formula>
    </cfRule>
  </conditionalFormatting>
  <dataValidations count="2">
    <dataValidation type="list" allowBlank="1" sqref="F10:F12">
      <formula1>"Not Started,In Progress,Review,Completed,Blocked"</formula1>
    </dataValidation>
    <dataValidation type="list" allowBlank="1" sqref="F3:F12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5" width="40" customWidth="1"/>
  </cols>
  <sheetData>
    <row r="1" ht="24" customHeight="1" spans="1:15" x14ac:dyDescent="0.25">
      <c r="A1" s="40" t="s">
        <v>528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</row>
    <row r="2" ht="26" customHeight="1" spans="1:15" x14ac:dyDescent="0.25">
      <c r="A2" s="12" t="s">
        <v>529</v>
      </c>
      <c r="B2" s="12" t="s">
        <v>530</v>
      </c>
      <c r="C2" s="12" t="s">
        <v>44</v>
      </c>
      <c r="D2" s="12" t="s">
        <v>531</v>
      </c>
      <c r="E2" s="12" t="s">
        <v>532</v>
      </c>
      <c r="F2" s="12" t="s">
        <v>47</v>
      </c>
      <c r="G2" s="12" t="s">
        <v>48</v>
      </c>
      <c r="H2" s="12" t="s">
        <v>46</v>
      </c>
      <c r="I2" s="12" t="s">
        <v>533</v>
      </c>
      <c r="J2" s="12" t="s">
        <v>534</v>
      </c>
      <c r="K2" s="12" t="s">
        <v>535</v>
      </c>
      <c r="L2" s="12" t="s">
        <v>536</v>
      </c>
      <c r="M2" s="12" t="s">
        <v>537</v>
      </c>
      <c r="N2" s="12" t="s">
        <v>538</v>
      </c>
      <c r="O2" s="12" t="s">
        <v>539</v>
      </c>
    </row>
    <row r="3" spans="1:15" x14ac:dyDescent="0.25">
      <c r="A3" s="9" t="s">
        <v>540</v>
      </c>
      <c r="B3" s="9" t="s">
        <v>541</v>
      </c>
      <c r="C3" s="9" t="s">
        <v>27</v>
      </c>
      <c r="D3" s="9" t="s">
        <v>542</v>
      </c>
      <c r="E3" s="9" t="s">
        <v>60</v>
      </c>
      <c r="F3" s="9" t="s">
        <v>60</v>
      </c>
      <c r="G3" s="9" t="s">
        <v>543</v>
      </c>
      <c r="H3" s="9" t="s">
        <v>26</v>
      </c>
      <c r="I3" s="9" t="s">
        <v>23</v>
      </c>
      <c r="J3" s="9" t="s">
        <v>544</v>
      </c>
      <c r="K3" s="9" t="s">
        <v>364</v>
      </c>
      <c r="L3" s="9" t="s">
        <v>545</v>
      </c>
      <c r="M3" s="9" t="s">
        <v>546</v>
      </c>
      <c r="N3" s="9" t="s">
        <v>364</v>
      </c>
      <c r="O3" s="9" t="s">
        <v>364</v>
      </c>
    </row>
    <row r="4" spans="1:15" x14ac:dyDescent="0.25">
      <c r="A4" s="6" t="s">
        <v>547</v>
      </c>
      <c r="B4" s="6" t="s">
        <v>548</v>
      </c>
      <c r="C4" s="6" t="s">
        <v>24</v>
      </c>
      <c r="D4" s="6" t="s">
        <v>549</v>
      </c>
      <c r="E4" s="6" t="s">
        <v>73</v>
      </c>
      <c r="F4" s="6" t="s">
        <v>73</v>
      </c>
      <c r="G4" s="6" t="s">
        <v>543</v>
      </c>
      <c r="H4" s="6" t="s">
        <v>32</v>
      </c>
      <c r="I4" s="6" t="s">
        <v>23</v>
      </c>
      <c r="J4" s="6" t="s">
        <v>544</v>
      </c>
      <c r="K4" s="6" t="s">
        <v>364</v>
      </c>
      <c r="L4" s="6" t="s">
        <v>545</v>
      </c>
      <c r="M4" s="6" t="s">
        <v>550</v>
      </c>
      <c r="N4" s="6" t="s">
        <v>364</v>
      </c>
      <c r="O4" s="6" t="s">
        <v>364</v>
      </c>
    </row>
    <row r="5" spans="1:15" x14ac:dyDescent="0.25">
      <c r="A5" s="9" t="s">
        <v>551</v>
      </c>
      <c r="B5" s="9" t="s">
        <v>552</v>
      </c>
      <c r="C5" s="9" t="s">
        <v>36</v>
      </c>
      <c r="D5" s="9" t="s">
        <v>553</v>
      </c>
      <c r="E5" s="9" t="s">
        <v>80</v>
      </c>
      <c r="F5" s="9" t="s">
        <v>80</v>
      </c>
      <c r="G5" s="9" t="s">
        <v>543</v>
      </c>
      <c r="H5" s="9" t="s">
        <v>35</v>
      </c>
      <c r="I5" s="9" t="s">
        <v>35</v>
      </c>
      <c r="J5" s="9" t="s">
        <v>544</v>
      </c>
      <c r="K5" s="9" t="s">
        <v>364</v>
      </c>
      <c r="L5" s="9" t="s">
        <v>545</v>
      </c>
      <c r="M5" s="9" t="s">
        <v>554</v>
      </c>
      <c r="N5" s="9" t="s">
        <v>364</v>
      </c>
      <c r="O5" s="9" t="s">
        <v>364</v>
      </c>
    </row>
    <row r="6" spans="1:15" x14ac:dyDescent="0.25">
      <c r="A6" s="6" t="s">
        <v>555</v>
      </c>
      <c r="B6" s="6" t="s">
        <v>556</v>
      </c>
      <c r="C6" s="6" t="s">
        <v>30</v>
      </c>
      <c r="D6" s="6" t="s">
        <v>557</v>
      </c>
      <c r="E6" s="6" t="s">
        <v>60</v>
      </c>
      <c r="F6" s="6" t="s">
        <v>60</v>
      </c>
      <c r="G6" s="6" t="s">
        <v>543</v>
      </c>
      <c r="H6" s="6" t="s">
        <v>29</v>
      </c>
      <c r="I6" s="6" t="s">
        <v>26</v>
      </c>
      <c r="J6" s="6" t="s">
        <v>544</v>
      </c>
      <c r="K6" s="6" t="s">
        <v>364</v>
      </c>
      <c r="L6" s="6" t="s">
        <v>545</v>
      </c>
      <c r="M6" s="6" t="s">
        <v>558</v>
      </c>
      <c r="N6" s="6" t="s">
        <v>364</v>
      </c>
      <c r="O6" s="6" t="s">
        <v>364</v>
      </c>
    </row>
    <row r="7" spans="1:15" x14ac:dyDescent="0.25">
      <c r="A7" s="9" t="s">
        <v>559</v>
      </c>
      <c r="B7" s="9" t="s">
        <v>560</v>
      </c>
      <c r="C7" s="9" t="s">
        <v>33</v>
      </c>
      <c r="D7" s="9" t="s">
        <v>561</v>
      </c>
      <c r="E7" s="9" t="s">
        <v>60</v>
      </c>
      <c r="F7" s="9" t="s">
        <v>73</v>
      </c>
      <c r="G7" s="9" t="s">
        <v>543</v>
      </c>
      <c r="H7" s="9" t="s">
        <v>38</v>
      </c>
      <c r="I7" s="9" t="s">
        <v>23</v>
      </c>
      <c r="J7" s="9" t="s">
        <v>544</v>
      </c>
      <c r="K7" s="9" t="s">
        <v>364</v>
      </c>
      <c r="L7" s="9" t="s">
        <v>545</v>
      </c>
      <c r="M7" s="9" t="s">
        <v>562</v>
      </c>
      <c r="N7" s="9" t="s">
        <v>364</v>
      </c>
      <c r="O7" s="9" t="s">
        <v>364</v>
      </c>
    </row>
    <row r="8" spans="1:15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</sheetData>
  <autoFilter ref="A2:O30"/>
  <mergeCells count="1">
    <mergeCell ref="A1:O1"/>
  </mergeCells>
  <conditionalFormatting sqref="G3:G30">
    <cfRule type="cellIs" dxfId="149" priority="1" operator="equal">
      <formula>"Completed"</formula>
    </cfRule>
    <cfRule type="cellIs" dxfId="150" priority="2" operator="equal">
      <formula>"In Progress"</formula>
    </cfRule>
    <cfRule type="cellIs" dxfId="151" priority="3" operator="equal">
      <formula>"Review"</formula>
    </cfRule>
    <cfRule type="cellIs" dxfId="152" priority="4" operator="equal">
      <formula>"Blocked"</formula>
    </cfRule>
    <cfRule type="cellIs" dxfId="153" priority="5" operator="equal">
      <formula>"Not Started"</formula>
    </cfRule>
  </conditionalFormatting>
  <conditionalFormatting sqref="E3:E30">
    <cfRule type="cellIs" dxfId="154" priority="6" operator="equal">
      <formula>"Critical"</formula>
    </cfRule>
    <cfRule type="cellIs" dxfId="155" priority="7" operator="equal">
      <formula>"High"</formula>
    </cfRule>
    <cfRule type="cellIs" dxfId="156" priority="8" operator="equal">
      <formula>"Medium"</formula>
    </cfRule>
    <cfRule type="cellIs" dxfId="157" priority="9" operator="equal">
      <formula>"Low"</formula>
    </cfRule>
  </conditionalFormatting>
  <dataValidations count="4">
    <dataValidation type="list" allowBlank="1" sqref="E10:F30">
      <formula1>"Critical,High,Medium,Low"</formula1>
    </dataValidation>
    <dataValidation type="list" allowBlank="1" sqref="E3:F30">
      <formula1>"Critical,High,Medium,Low"</formula1>
    </dataValidation>
    <dataValidation type="list" allowBlank="1" sqref="G10:G30">
      <formula1>"New,Assigned,In Progress,Ready for Test,Verified,Closed,Open"</formula1>
    </dataValidation>
    <dataValidation type="list" allowBlank="1" sqref="G3:G30">
      <formula1>"New,Assigned,In Progress,Ready for Test,Verified,Closed,Open"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6" width="40" customWidth="1"/>
  </cols>
  <sheetData>
    <row r="1" ht="24" customHeight="1" spans="1:6" x14ac:dyDescent="0.25">
      <c r="A1" s="40" t="s">
        <v>563</v>
      </c>
      <c r="B1" s="40"/>
      <c r="C1" s="40"/>
      <c r="D1" s="40"/>
      <c r="E1" s="40"/>
      <c r="F1" s="40"/>
    </row>
    <row r="2" ht="26" customHeight="1" spans="1:6" x14ac:dyDescent="0.25">
      <c r="A2" s="12" t="s">
        <v>564</v>
      </c>
      <c r="B2" s="12" t="s">
        <v>565</v>
      </c>
      <c r="C2" s="12" t="s">
        <v>566</v>
      </c>
      <c r="D2" s="12" t="s">
        <v>48</v>
      </c>
      <c r="E2" s="12" t="s">
        <v>567</v>
      </c>
      <c r="F2" s="12" t="s">
        <v>568</v>
      </c>
    </row>
    <row r="3" spans="1:6" x14ac:dyDescent="0.25">
      <c r="A3" s="13" t="s">
        <v>569</v>
      </c>
      <c r="B3" s="6" t="s">
        <v>570</v>
      </c>
      <c r="C3" s="6" t="s">
        <v>571</v>
      </c>
      <c r="D3" s="13" t="s">
        <v>17</v>
      </c>
      <c r="E3" s="13" t="s">
        <v>26</v>
      </c>
      <c r="F3" s="13" t="s">
        <v>25</v>
      </c>
    </row>
    <row r="4" spans="1:6" x14ac:dyDescent="0.25">
      <c r="A4" s="15" t="s">
        <v>572</v>
      </c>
      <c r="B4" s="9" t="s">
        <v>573</v>
      </c>
      <c r="C4" s="9" t="s">
        <v>574</v>
      </c>
      <c r="D4" s="15" t="s">
        <v>17</v>
      </c>
      <c r="E4" s="15" t="s">
        <v>32</v>
      </c>
      <c r="F4" s="15" t="s">
        <v>31</v>
      </c>
    </row>
    <row r="5" spans="1:6" x14ac:dyDescent="0.25">
      <c r="A5" s="13" t="s">
        <v>575</v>
      </c>
      <c r="B5" s="6" t="s">
        <v>576</v>
      </c>
      <c r="C5" s="6" t="s">
        <v>577</v>
      </c>
      <c r="D5" s="13" t="s">
        <v>17</v>
      </c>
      <c r="E5" s="13" t="s">
        <v>32</v>
      </c>
      <c r="F5" s="13" t="s">
        <v>31</v>
      </c>
    </row>
    <row r="6" spans="1:6" x14ac:dyDescent="0.25">
      <c r="A6" s="15" t="s">
        <v>578</v>
      </c>
      <c r="B6" s="9" t="s">
        <v>579</v>
      </c>
      <c r="C6" s="9" t="s">
        <v>580</v>
      </c>
      <c r="D6" s="15" t="s">
        <v>17</v>
      </c>
      <c r="E6" s="15" t="s">
        <v>26</v>
      </c>
      <c r="F6" s="15" t="s">
        <v>31</v>
      </c>
    </row>
    <row r="7" spans="1:6" x14ac:dyDescent="0.25">
      <c r="A7" s="13" t="s">
        <v>581</v>
      </c>
      <c r="B7" s="6" t="s">
        <v>582</v>
      </c>
      <c r="C7" s="6" t="s">
        <v>583</v>
      </c>
      <c r="D7" s="13" t="s">
        <v>17</v>
      </c>
      <c r="E7" s="13" t="s">
        <v>32</v>
      </c>
      <c r="F7" s="13" t="s">
        <v>34</v>
      </c>
    </row>
    <row r="8" spans="1:6" x14ac:dyDescent="0.25">
      <c r="A8" s="15" t="s">
        <v>584</v>
      </c>
      <c r="B8" s="9" t="s">
        <v>585</v>
      </c>
      <c r="C8" s="9" t="s">
        <v>586</v>
      </c>
      <c r="D8" s="15" t="s">
        <v>17</v>
      </c>
      <c r="E8" s="15" t="s">
        <v>32</v>
      </c>
      <c r="F8" s="15" t="s">
        <v>34</v>
      </c>
    </row>
    <row r="9" spans="1:6" x14ac:dyDescent="0.25">
      <c r="A9" s="13" t="s">
        <v>587</v>
      </c>
      <c r="B9" s="6" t="s">
        <v>588</v>
      </c>
      <c r="C9" s="6" t="s">
        <v>589</v>
      </c>
      <c r="D9" s="13" t="s">
        <v>17</v>
      </c>
      <c r="E9" s="13" t="s">
        <v>32</v>
      </c>
      <c r="F9" s="13" t="s">
        <v>34</v>
      </c>
    </row>
    <row r="10" spans="1:6" x14ac:dyDescent="0.25">
      <c r="A10" s="15" t="s">
        <v>590</v>
      </c>
      <c r="B10" s="9" t="s">
        <v>591</v>
      </c>
      <c r="C10" s="9" t="s">
        <v>592</v>
      </c>
      <c r="D10" s="15" t="s">
        <v>17</v>
      </c>
      <c r="E10" s="15" t="s">
        <v>29</v>
      </c>
      <c r="F10" s="15" t="s">
        <v>37</v>
      </c>
    </row>
    <row r="11" spans="1:6" x14ac:dyDescent="0.25">
      <c r="A11" s="13" t="s">
        <v>593</v>
      </c>
      <c r="B11" s="6" t="s">
        <v>594</v>
      </c>
      <c r="C11" s="6" t="s">
        <v>595</v>
      </c>
      <c r="D11" s="13" t="s">
        <v>17</v>
      </c>
      <c r="E11" s="13" t="s">
        <v>596</v>
      </c>
      <c r="F11" s="13" t="s">
        <v>37</v>
      </c>
    </row>
    <row r="12" spans="1:6" x14ac:dyDescent="0.25">
      <c r="A12" s="15" t="s">
        <v>597</v>
      </c>
      <c r="B12" s="9" t="s">
        <v>598</v>
      </c>
      <c r="C12" s="9" t="s">
        <v>599</v>
      </c>
      <c r="D12" s="15" t="s">
        <v>17</v>
      </c>
      <c r="E12" s="15" t="s">
        <v>38</v>
      </c>
      <c r="F12" s="15" t="s">
        <v>40</v>
      </c>
    </row>
    <row r="13" spans="1:6" x14ac:dyDescent="0.25">
      <c r="A13" s="13" t="s">
        <v>600</v>
      </c>
      <c r="B13" s="6" t="s">
        <v>601</v>
      </c>
      <c r="C13" s="6" t="s">
        <v>602</v>
      </c>
      <c r="D13" s="13" t="s">
        <v>17</v>
      </c>
      <c r="E13" s="13" t="s">
        <v>32</v>
      </c>
      <c r="F13" s="13" t="s">
        <v>42</v>
      </c>
    </row>
    <row r="14" spans="1:6" x14ac:dyDescent="0.25">
      <c r="A14" s="15" t="s">
        <v>603</v>
      </c>
      <c r="B14" s="9" t="s">
        <v>604</v>
      </c>
      <c r="C14" s="9" t="s">
        <v>605</v>
      </c>
      <c r="D14" s="15" t="s">
        <v>17</v>
      </c>
      <c r="E14" s="15" t="s">
        <v>29</v>
      </c>
      <c r="F14" s="15" t="s">
        <v>56</v>
      </c>
    </row>
  </sheetData>
  <autoFilter ref="A2:F14"/>
  <mergeCells count="1">
    <mergeCell ref="A1:F1"/>
  </mergeCells>
  <conditionalFormatting sqref="D3:D14">
    <cfRule type="cellIs" dxfId="158" priority="1" operator="equal">
      <formula>"Completed"</formula>
    </cfRule>
    <cfRule type="cellIs" dxfId="159" priority="2" operator="equal">
      <formula>"In Progress"</formula>
    </cfRule>
    <cfRule type="cellIs" dxfId="160" priority="3" operator="equal">
      <formula>"Review"</formula>
    </cfRule>
    <cfRule type="cellIs" dxfId="161" priority="4" operator="equal">
      <formula>"Blocked"</formula>
    </cfRule>
    <cfRule type="cellIs" dxfId="162" priority="5" operator="equal">
      <formula>"Not Started"</formula>
    </cfRule>
  </conditionalFormatting>
  <dataValidations count="2">
    <dataValidation type="list" allowBlank="1" sqref="D10:D14">
      <formula1>"Not Started,In Progress,Review,Completed,Blocked"</formula1>
    </dataValidation>
    <dataValidation type="list" allowBlank="1" sqref="D3:D14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6" width="40" customWidth="1"/>
  </cols>
  <sheetData>
    <row r="1" ht="24" customHeight="1" spans="1:6" x14ac:dyDescent="0.25">
      <c r="A1" s="40" t="s">
        <v>606</v>
      </c>
      <c r="B1" s="40"/>
      <c r="C1" s="40"/>
      <c r="D1" s="40"/>
      <c r="E1" s="40"/>
      <c r="F1" s="40"/>
    </row>
    <row r="2" ht="26" customHeight="1" spans="1:6" x14ac:dyDescent="0.25">
      <c r="A2" s="12" t="s">
        <v>607</v>
      </c>
      <c r="B2" s="12" t="s">
        <v>14</v>
      </c>
      <c r="C2" s="12" t="s">
        <v>608</v>
      </c>
      <c r="D2" s="12" t="s">
        <v>609</v>
      </c>
      <c r="E2" s="12" t="s">
        <v>610</v>
      </c>
      <c r="F2" s="12" t="s">
        <v>611</v>
      </c>
    </row>
    <row r="3" spans="1:6" x14ac:dyDescent="0.25">
      <c r="A3" s="13" t="s">
        <v>544</v>
      </c>
      <c r="B3" s="13" t="s">
        <v>23</v>
      </c>
      <c r="C3" s="6" t="s">
        <v>612</v>
      </c>
      <c r="D3" s="6" t="s">
        <v>613</v>
      </c>
      <c r="E3" s="6" t="s">
        <v>62</v>
      </c>
      <c r="F3" s="13" t="s">
        <v>106</v>
      </c>
    </row>
    <row r="4" spans="1:6" x14ac:dyDescent="0.25">
      <c r="A4" s="15" t="s">
        <v>544</v>
      </c>
      <c r="B4" s="15" t="s">
        <v>26</v>
      </c>
      <c r="C4" s="9" t="s">
        <v>612</v>
      </c>
      <c r="D4" s="9" t="s">
        <v>613</v>
      </c>
      <c r="E4" s="9" t="s">
        <v>62</v>
      </c>
      <c r="F4" s="15" t="s">
        <v>106</v>
      </c>
    </row>
    <row r="5" spans="1:6" x14ac:dyDescent="0.25">
      <c r="A5" s="13" t="s">
        <v>544</v>
      </c>
      <c r="B5" s="13" t="s">
        <v>29</v>
      </c>
      <c r="C5" s="6" t="s">
        <v>612</v>
      </c>
      <c r="D5" s="6" t="s">
        <v>613</v>
      </c>
      <c r="E5" s="6" t="s">
        <v>62</v>
      </c>
      <c r="F5" s="13" t="s">
        <v>106</v>
      </c>
    </row>
    <row r="6" spans="1:6" x14ac:dyDescent="0.25">
      <c r="A6" s="15" t="s">
        <v>544</v>
      </c>
      <c r="B6" s="15" t="s">
        <v>32</v>
      </c>
      <c r="C6" s="9" t="s">
        <v>612</v>
      </c>
      <c r="D6" s="9" t="s">
        <v>613</v>
      </c>
      <c r="E6" s="9" t="s">
        <v>62</v>
      </c>
      <c r="F6" s="15" t="s">
        <v>106</v>
      </c>
    </row>
    <row r="7" spans="1:6" x14ac:dyDescent="0.25">
      <c r="A7" s="13" t="s">
        <v>544</v>
      </c>
      <c r="B7" s="13" t="s">
        <v>35</v>
      </c>
      <c r="C7" s="6" t="s">
        <v>612</v>
      </c>
      <c r="D7" s="6" t="s">
        <v>613</v>
      </c>
      <c r="E7" s="6" t="s">
        <v>62</v>
      </c>
      <c r="F7" s="13" t="s">
        <v>106</v>
      </c>
    </row>
    <row r="8" spans="1:6" x14ac:dyDescent="0.25">
      <c r="A8" s="15" t="s">
        <v>544</v>
      </c>
      <c r="B8" s="15" t="s">
        <v>38</v>
      </c>
      <c r="C8" s="9" t="s">
        <v>612</v>
      </c>
      <c r="D8" s="9" t="s">
        <v>613</v>
      </c>
      <c r="E8" s="9" t="s">
        <v>62</v>
      </c>
      <c r="F8" s="15" t="s">
        <v>106</v>
      </c>
    </row>
  </sheetData>
  <autoFilter ref="A2:F8"/>
  <mergeCells count="1">
    <mergeCell ref="A1:F1"/>
  </mergeCells>
  <dataValidations count="1">
    <dataValidation type="list" allowBlank="1" sqref="F3:F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6" width="40" customWidth="1"/>
  </cols>
  <sheetData>
    <row r="1" ht="24" customHeight="1" spans="1:6" x14ac:dyDescent="0.25">
      <c r="A1" s="40" t="s">
        <v>614</v>
      </c>
      <c r="B1" s="40"/>
      <c r="C1" s="40"/>
      <c r="D1" s="40"/>
      <c r="E1" s="40"/>
      <c r="F1" s="40"/>
    </row>
    <row r="2" ht="26" customHeight="1" spans="1:6" x14ac:dyDescent="0.25">
      <c r="A2" s="12" t="s">
        <v>14</v>
      </c>
      <c r="B2" s="12" t="s">
        <v>15</v>
      </c>
      <c r="C2" s="12" t="s">
        <v>16</v>
      </c>
      <c r="D2" s="12" t="s">
        <v>17</v>
      </c>
      <c r="E2" s="12" t="s">
        <v>18</v>
      </c>
      <c r="F2" s="12" t="s">
        <v>19</v>
      </c>
    </row>
    <row r="3" spans="1:6" x14ac:dyDescent="0.25">
      <c r="A3" s="6" t="str">
        <f>=Dashboard!A8</f>
        <v>Minha Palakkathodi</v>
      </c>
      <c r="B3" s="13">
        <f>=Dashboard!B8</f>
        <v>9</v>
      </c>
      <c r="C3" s="13">
        <f>=Dashboard!C8</f>
        <v>0</v>
      </c>
      <c r="D3" s="13">
        <f>=Dashboard!D8</f>
        <v>9</v>
      </c>
      <c r="E3" s="13">
        <f>=Dashboard!E8</f>
        <v>0</v>
      </c>
      <c r="F3" s="14">
        <f>=Dashboard!F8</f>
        <v>0</v>
      </c>
    </row>
    <row r="4" spans="1:6" x14ac:dyDescent="0.25">
      <c r="A4" s="9" t="str">
        <f>=Dashboard!A9</f>
        <v>Adithyan N</v>
      </c>
      <c r="B4" s="15">
        <f>=Dashboard!B9</f>
        <v>30</v>
      </c>
      <c r="C4" s="15">
        <f>=Dashboard!C9</f>
        <v>0</v>
      </c>
      <c r="D4" s="15">
        <f>=Dashboard!D9</f>
        <v>30</v>
      </c>
      <c r="E4" s="15">
        <f>=Dashboard!E9</f>
        <v>0</v>
      </c>
      <c r="F4" s="16">
        <f>=Dashboard!F9</f>
        <v>0</v>
      </c>
    </row>
    <row r="5" spans="1:6" x14ac:dyDescent="0.25">
      <c r="A5" s="6" t="str">
        <f>=Dashboard!A10</f>
        <v>Fathima Hana</v>
      </c>
      <c r="B5" s="13">
        <f>=Dashboard!B10</f>
        <v>16</v>
      </c>
      <c r="C5" s="13">
        <f>=Dashboard!C10</f>
        <v>0</v>
      </c>
      <c r="D5" s="13">
        <f>=Dashboard!D10</f>
        <v>16</v>
      </c>
      <c r="E5" s="13">
        <f>=Dashboard!E10</f>
        <v>0</v>
      </c>
      <c r="F5" s="14">
        <f>=Dashboard!F10</f>
        <v>0</v>
      </c>
    </row>
    <row r="6" spans="1:6" x14ac:dyDescent="0.25">
      <c r="A6" s="9" t="str">
        <f>=Dashboard!A11</f>
        <v>Muhammad Sanish</v>
      </c>
      <c r="B6" s="15">
        <f>=Dashboard!B11</f>
        <v>23</v>
      </c>
      <c r="C6" s="15">
        <f>=Dashboard!C11</f>
        <v>0</v>
      </c>
      <c r="D6" s="15">
        <f>=Dashboard!D11</f>
        <v>23</v>
      </c>
      <c r="E6" s="15">
        <f>=Dashboard!E11</f>
        <v>0</v>
      </c>
      <c r="F6" s="16">
        <f>=Dashboard!F11</f>
        <v>0</v>
      </c>
    </row>
    <row r="7" spans="1:6" x14ac:dyDescent="0.25">
      <c r="A7" s="6" t="str">
        <f>=Dashboard!A12</f>
        <v>Fadi Ahmed</v>
      </c>
      <c r="B7" s="13">
        <f>=Dashboard!B12</f>
        <v>9</v>
      </c>
      <c r="C7" s="13">
        <f>=Dashboard!C12</f>
        <v>0</v>
      </c>
      <c r="D7" s="13">
        <f>=Dashboard!D12</f>
        <v>9</v>
      </c>
      <c r="E7" s="13">
        <f>=Dashboard!E12</f>
        <v>0</v>
      </c>
      <c r="F7" s="14">
        <f>=Dashboard!F12</f>
        <v>0</v>
      </c>
    </row>
    <row r="8" spans="1:6" x14ac:dyDescent="0.25">
      <c r="A8" s="9" t="str">
        <f>=Dashboard!A13</f>
        <v>Muhammed Sadik KT</v>
      </c>
      <c r="B8" s="15">
        <f>=Dashboard!B13</f>
        <v>9</v>
      </c>
      <c r="C8" s="15">
        <f>=Dashboard!C13</f>
        <v>0</v>
      </c>
      <c r="D8" s="15">
        <f>=Dashboard!D13</f>
        <v>9</v>
      </c>
      <c r="E8" s="15">
        <f>=Dashboard!E13</f>
        <v>0</v>
      </c>
      <c r="F8" s="16">
        <f>=Dashboard!F13</f>
        <v>0</v>
      </c>
    </row>
  </sheetData>
  <autoFilter ref="A2:F8"/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7" customWidth="1"/>
    <col min="2" max="2" width="39" customWidth="1"/>
    <col min="3" max="4" width="40" customWidth="1"/>
    <col min="5" max="6" width="37" customWidth="1"/>
  </cols>
  <sheetData>
    <row r="1" ht="24" customHeight="1" spans="1:6" x14ac:dyDescent="0.25">
      <c r="A1" s="40" t="s">
        <v>615</v>
      </c>
      <c r="B1" s="40"/>
      <c r="C1" s="40"/>
      <c r="D1" s="40"/>
      <c r="E1" s="40"/>
      <c r="F1" s="40"/>
    </row>
    <row r="2" ht="26" customHeight="1" spans="1:6" x14ac:dyDescent="0.25">
      <c r="A2" s="12" t="s">
        <v>616</v>
      </c>
      <c r="B2" s="12" t="s">
        <v>617</v>
      </c>
      <c r="C2" s="12" t="s">
        <v>618</v>
      </c>
      <c r="D2" s="12" t="s">
        <v>619</v>
      </c>
      <c r="E2" s="12" t="s">
        <v>48</v>
      </c>
      <c r="F2" s="12" t="s">
        <v>620</v>
      </c>
    </row>
    <row r="3" spans="1:6" x14ac:dyDescent="0.25">
      <c r="A3" s="13" t="s">
        <v>621</v>
      </c>
      <c r="B3" s="13" t="s">
        <v>622</v>
      </c>
      <c r="C3" s="13" t="s">
        <v>623</v>
      </c>
      <c r="D3" s="6" t="s">
        <v>624</v>
      </c>
      <c r="E3" s="13" t="s">
        <v>61</v>
      </c>
      <c r="F3" s="13" t="s">
        <v>73</v>
      </c>
    </row>
    <row r="4" spans="1:6" x14ac:dyDescent="0.25">
      <c r="A4" s="15" t="s">
        <v>625</v>
      </c>
      <c r="B4" s="15" t="s">
        <v>623</v>
      </c>
      <c r="C4" s="15" t="s">
        <v>626</v>
      </c>
      <c r="D4" s="9" t="s">
        <v>627</v>
      </c>
      <c r="E4" s="15" t="s">
        <v>61</v>
      </c>
      <c r="F4" s="15" t="s">
        <v>73</v>
      </c>
    </row>
    <row r="5" spans="1:6" x14ac:dyDescent="0.25">
      <c r="A5" s="13" t="s">
        <v>628</v>
      </c>
      <c r="B5" s="13" t="s">
        <v>626</v>
      </c>
      <c r="C5" s="13" t="s">
        <v>629</v>
      </c>
      <c r="D5" s="6" t="s">
        <v>630</v>
      </c>
      <c r="E5" s="13" t="s">
        <v>61</v>
      </c>
      <c r="F5" s="13" t="s">
        <v>73</v>
      </c>
    </row>
    <row r="6" spans="1:6" x14ac:dyDescent="0.25">
      <c r="A6" s="15" t="s">
        <v>631</v>
      </c>
      <c r="B6" s="15" t="s">
        <v>632</v>
      </c>
      <c r="C6" s="15" t="s">
        <v>633</v>
      </c>
      <c r="D6" s="9" t="s">
        <v>634</v>
      </c>
      <c r="E6" s="15" t="s">
        <v>61</v>
      </c>
      <c r="F6" s="15" t="s">
        <v>60</v>
      </c>
    </row>
    <row r="7" spans="1:6" x14ac:dyDescent="0.25">
      <c r="A7" s="13" t="s">
        <v>635</v>
      </c>
      <c r="B7" s="13" t="s">
        <v>633</v>
      </c>
      <c r="C7" s="13" t="s">
        <v>636</v>
      </c>
      <c r="D7" s="6" t="s">
        <v>637</v>
      </c>
      <c r="E7" s="13" t="s">
        <v>61</v>
      </c>
      <c r="F7" s="13" t="s">
        <v>60</v>
      </c>
    </row>
    <row r="8" spans="1:6" x14ac:dyDescent="0.25">
      <c r="A8" s="15" t="s">
        <v>638</v>
      </c>
      <c r="B8" s="15" t="s">
        <v>639</v>
      </c>
      <c r="C8" s="15" t="s">
        <v>640</v>
      </c>
      <c r="D8" s="9" t="s">
        <v>641</v>
      </c>
      <c r="E8" s="15" t="s">
        <v>61</v>
      </c>
      <c r="F8" s="15" t="s">
        <v>60</v>
      </c>
    </row>
    <row r="9" spans="1:6" x14ac:dyDescent="0.25">
      <c r="A9" s="13" t="s">
        <v>642</v>
      </c>
      <c r="B9" s="13" t="s">
        <v>640</v>
      </c>
      <c r="C9" s="13" t="s">
        <v>643</v>
      </c>
      <c r="D9" s="6" t="s">
        <v>644</v>
      </c>
      <c r="E9" s="13" t="s">
        <v>61</v>
      </c>
      <c r="F9" s="13" t="s">
        <v>60</v>
      </c>
    </row>
    <row r="10" spans="1:6" x14ac:dyDescent="0.25">
      <c r="A10" s="15" t="s">
        <v>645</v>
      </c>
      <c r="B10" s="15" t="s">
        <v>646</v>
      </c>
      <c r="C10" s="15" t="s">
        <v>647</v>
      </c>
      <c r="D10" s="9" t="s">
        <v>648</v>
      </c>
      <c r="E10" s="15" t="s">
        <v>61</v>
      </c>
      <c r="F10" s="15" t="s">
        <v>60</v>
      </c>
    </row>
  </sheetData>
  <autoFilter ref="A2:F10"/>
  <mergeCells count="1">
    <mergeCell ref="A1:F1"/>
  </mergeCells>
  <conditionalFormatting sqref="E3:E10">
    <cfRule type="cellIs" dxfId="163" priority="1" operator="equal">
      <formula>"Completed"</formula>
    </cfRule>
    <cfRule type="cellIs" dxfId="164" priority="2" operator="equal">
      <formula>"In Progress"</formula>
    </cfRule>
    <cfRule type="cellIs" dxfId="165" priority="3" operator="equal">
      <formula>"Review"</formula>
    </cfRule>
    <cfRule type="cellIs" dxfId="166" priority="4" operator="equal">
      <formula>"Blocked"</formula>
    </cfRule>
    <cfRule type="cellIs" dxfId="167" priority="5" operator="equal">
      <formula>"Not Started"</formula>
    </cfRule>
  </conditionalFormatting>
  <conditionalFormatting sqref="F3:F10">
    <cfRule type="cellIs" dxfId="168" priority="6" operator="equal">
      <formula>"Critical"</formula>
    </cfRule>
    <cfRule type="cellIs" dxfId="169" priority="7" operator="equal">
      <formula>"High"</formula>
    </cfRule>
    <cfRule type="cellIs" dxfId="170" priority="8" operator="equal">
      <formula>"Medium"</formula>
    </cfRule>
    <cfRule type="cellIs" dxfId="171" priority="9" operator="equal">
      <formula>"Low"</formula>
    </cfRule>
  </conditionalFormatting>
  <dataValidations count="4">
    <dataValidation type="list" allowBlank="1" sqref="E10">
      <formula1>"Not Started,Resolved,Blocked,In Progress"</formula1>
    </dataValidation>
    <dataValidation type="list" allowBlank="1" sqref="E3:E10">
      <formula1>"Not Started,Resolved,Blocked,In Progress"</formula1>
    </dataValidation>
    <dataValidation type="list" allowBlank="1" sqref="F10">
      <formula1>"Critical,High,Medium,Low"</formula1>
    </dataValidation>
    <dataValidation type="list" allowBlank="1" sqref="F3:F10">
      <formula1>"Critical,High,Medium,Low"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5" width="40" customWidth="1"/>
  </cols>
  <sheetData>
    <row r="1" ht="24" customHeight="1" spans="1:5" x14ac:dyDescent="0.25">
      <c r="A1" s="40" t="s">
        <v>649</v>
      </c>
      <c r="B1" s="40"/>
      <c r="C1" s="40"/>
      <c r="D1" s="40"/>
      <c r="E1" s="40"/>
    </row>
    <row r="2" ht="26" customHeight="1" spans="1:5" x14ac:dyDescent="0.25">
      <c r="A2" s="12" t="s">
        <v>650</v>
      </c>
      <c r="B2" s="12" t="s">
        <v>651</v>
      </c>
      <c r="C2" s="12" t="s">
        <v>652</v>
      </c>
      <c r="D2" s="12" t="s">
        <v>48</v>
      </c>
      <c r="E2" s="12" t="s">
        <v>567</v>
      </c>
    </row>
    <row r="3" spans="1:5" x14ac:dyDescent="0.25">
      <c r="A3" s="13" t="s">
        <v>653</v>
      </c>
      <c r="B3" s="6" t="s">
        <v>654</v>
      </c>
      <c r="C3" s="6" t="s">
        <v>655</v>
      </c>
      <c r="D3" s="13" t="s">
        <v>61</v>
      </c>
      <c r="E3" s="13" t="s">
        <v>26</v>
      </c>
    </row>
    <row r="4" spans="1:5" x14ac:dyDescent="0.25">
      <c r="A4" s="15" t="s">
        <v>656</v>
      </c>
      <c r="B4" s="9" t="s">
        <v>657</v>
      </c>
      <c r="C4" s="9" t="s">
        <v>658</v>
      </c>
      <c r="D4" s="15" t="s">
        <v>61</v>
      </c>
      <c r="E4" s="15" t="s">
        <v>32</v>
      </c>
    </row>
    <row r="5" spans="1:5" x14ac:dyDescent="0.25">
      <c r="A5" s="13" t="s">
        <v>659</v>
      </c>
      <c r="B5" s="6" t="s">
        <v>660</v>
      </c>
      <c r="C5" s="6" t="s">
        <v>661</v>
      </c>
      <c r="D5" s="13" t="s">
        <v>61</v>
      </c>
      <c r="E5" s="13" t="s">
        <v>32</v>
      </c>
    </row>
    <row r="6" spans="1:5" x14ac:dyDescent="0.25">
      <c r="A6" s="15" t="s">
        <v>662</v>
      </c>
      <c r="B6" s="9" t="s">
        <v>663</v>
      </c>
      <c r="C6" s="9" t="s">
        <v>664</v>
      </c>
      <c r="D6" s="15" t="s">
        <v>61</v>
      </c>
      <c r="E6" s="15" t="s">
        <v>26</v>
      </c>
    </row>
    <row r="7" spans="1:5" x14ac:dyDescent="0.25">
      <c r="A7" s="13" t="s">
        <v>665</v>
      </c>
      <c r="B7" s="6" t="s">
        <v>666</v>
      </c>
      <c r="C7" s="6" t="s">
        <v>667</v>
      </c>
      <c r="D7" s="13" t="s">
        <v>61</v>
      </c>
      <c r="E7" s="13" t="s">
        <v>32</v>
      </c>
    </row>
    <row r="8" spans="1:5" x14ac:dyDescent="0.25">
      <c r="A8" s="15" t="s">
        <v>668</v>
      </c>
      <c r="B8" s="9" t="s">
        <v>669</v>
      </c>
      <c r="C8" s="9" t="s">
        <v>670</v>
      </c>
      <c r="D8" s="15" t="s">
        <v>61</v>
      </c>
      <c r="E8" s="15" t="s">
        <v>26</v>
      </c>
    </row>
    <row r="9" spans="1:5" x14ac:dyDescent="0.25">
      <c r="A9" s="13" t="s">
        <v>671</v>
      </c>
      <c r="B9" s="6" t="s">
        <v>672</v>
      </c>
      <c r="C9" s="6" t="s">
        <v>673</v>
      </c>
      <c r="D9" s="13" t="s">
        <v>61</v>
      </c>
      <c r="E9" s="13" t="s">
        <v>26</v>
      </c>
    </row>
    <row r="10" spans="1:5" x14ac:dyDescent="0.25">
      <c r="A10" s="15" t="s">
        <v>674</v>
      </c>
      <c r="B10" s="9" t="s">
        <v>675</v>
      </c>
      <c r="C10" s="9" t="s">
        <v>676</v>
      </c>
      <c r="D10" s="15" t="s">
        <v>61</v>
      </c>
      <c r="E10" s="15" t="s">
        <v>29</v>
      </c>
    </row>
  </sheetData>
  <autoFilter ref="A2:E10"/>
  <mergeCells count="1">
    <mergeCell ref="A1:E1"/>
  </mergeCells>
  <conditionalFormatting sqref="D3:D10">
    <cfRule type="cellIs" dxfId="172" priority="1" operator="equal">
      <formula>"Completed"</formula>
    </cfRule>
    <cfRule type="cellIs" dxfId="173" priority="2" operator="equal">
      <formula>"In Progress"</formula>
    </cfRule>
    <cfRule type="cellIs" dxfId="174" priority="3" operator="equal">
      <formula>"Review"</formula>
    </cfRule>
    <cfRule type="cellIs" dxfId="175" priority="4" operator="equal">
      <formula>"Blocked"</formula>
    </cfRule>
    <cfRule type="cellIs" dxfId="176" priority="5" operator="equal">
      <formula>"Not Started"</formula>
    </cfRule>
  </conditionalFormatting>
  <dataValidations count="2">
    <dataValidation type="list" allowBlank="1" sqref="D10">
      <formula1>"Not Started,In Progress,Review,Completed,Blocked"</formula1>
    </dataValidation>
    <dataValidation type="list" allowBlank="1" sqref="D3:D10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  <col min="3" max="3" width="36" customWidth="1"/>
    <col min="4" max="4" width="40" customWidth="1"/>
    <col min="5" max="7" width="36" customWidth="1"/>
  </cols>
  <sheetData>
    <row r="1" ht="24" customHeight="1" spans="1:7" x14ac:dyDescent="0.25">
      <c r="A1" s="40" t="s">
        <v>677</v>
      </c>
      <c r="B1" s="40"/>
      <c r="C1" s="40"/>
      <c r="D1" s="40"/>
      <c r="E1" s="40"/>
      <c r="F1" s="40"/>
      <c r="G1" s="40"/>
    </row>
    <row r="2" ht="26" customHeight="1" spans="1:7" x14ac:dyDescent="0.25">
      <c r="A2" s="12" t="s">
        <v>678</v>
      </c>
      <c r="B2" s="12" t="s">
        <v>679</v>
      </c>
      <c r="C2" s="12" t="s">
        <v>620</v>
      </c>
      <c r="D2" s="12" t="s">
        <v>680</v>
      </c>
      <c r="E2" s="12" t="s">
        <v>681</v>
      </c>
      <c r="F2" s="12" t="s">
        <v>48</v>
      </c>
      <c r="G2" s="12" t="s">
        <v>682</v>
      </c>
    </row>
    <row r="3" spans="1:7" x14ac:dyDescent="0.25">
      <c r="A3" s="13" t="s">
        <v>683</v>
      </c>
      <c r="B3" s="6" t="s">
        <v>684</v>
      </c>
      <c r="C3" s="13" t="s">
        <v>60</v>
      </c>
      <c r="D3" s="6" t="s">
        <v>685</v>
      </c>
      <c r="E3" s="13" t="s">
        <v>32</v>
      </c>
      <c r="F3" s="13" t="s">
        <v>543</v>
      </c>
      <c r="G3" s="13" t="s">
        <v>64</v>
      </c>
    </row>
    <row r="4" spans="1:7" x14ac:dyDescent="0.25">
      <c r="A4" s="15" t="s">
        <v>686</v>
      </c>
      <c r="B4" s="9" t="s">
        <v>687</v>
      </c>
      <c r="C4" s="15" t="s">
        <v>60</v>
      </c>
      <c r="D4" s="9" t="s">
        <v>688</v>
      </c>
      <c r="E4" s="15" t="s">
        <v>26</v>
      </c>
      <c r="F4" s="15" t="s">
        <v>543</v>
      </c>
      <c r="G4" s="15" t="s">
        <v>64</v>
      </c>
    </row>
    <row r="5" spans="1:7" x14ac:dyDescent="0.25">
      <c r="A5" s="13" t="s">
        <v>689</v>
      </c>
      <c r="B5" s="6" t="s">
        <v>690</v>
      </c>
      <c r="C5" s="13" t="s">
        <v>80</v>
      </c>
      <c r="D5" s="6" t="s">
        <v>691</v>
      </c>
      <c r="E5" s="13" t="s">
        <v>29</v>
      </c>
      <c r="F5" s="13" t="s">
        <v>543</v>
      </c>
      <c r="G5" s="13" t="s">
        <v>64</v>
      </c>
    </row>
    <row r="6" spans="1:7" x14ac:dyDescent="0.25">
      <c r="A6" s="15" t="s">
        <v>692</v>
      </c>
      <c r="B6" s="9" t="s">
        <v>693</v>
      </c>
      <c r="C6" s="15" t="s">
        <v>60</v>
      </c>
      <c r="D6" s="9" t="s">
        <v>694</v>
      </c>
      <c r="E6" s="15" t="s">
        <v>35</v>
      </c>
      <c r="F6" s="15" t="s">
        <v>543</v>
      </c>
      <c r="G6" s="15" t="s">
        <v>64</v>
      </c>
    </row>
    <row r="7" spans="1:7" x14ac:dyDescent="0.25">
      <c r="A7" s="13" t="s">
        <v>695</v>
      </c>
      <c r="B7" s="6" t="s">
        <v>696</v>
      </c>
      <c r="C7" s="13" t="s">
        <v>80</v>
      </c>
      <c r="D7" s="6" t="s">
        <v>697</v>
      </c>
      <c r="E7" s="13" t="s">
        <v>38</v>
      </c>
      <c r="F7" s="13" t="s">
        <v>543</v>
      </c>
      <c r="G7" s="13" t="s">
        <v>64</v>
      </c>
    </row>
    <row r="8" spans="1:7" x14ac:dyDescent="0.25">
      <c r="A8" s="15" t="s">
        <v>698</v>
      </c>
      <c r="B8" s="9" t="s">
        <v>699</v>
      </c>
      <c r="C8" s="15" t="s">
        <v>80</v>
      </c>
      <c r="D8" s="9" t="s">
        <v>700</v>
      </c>
      <c r="E8" s="15" t="s">
        <v>26</v>
      </c>
      <c r="F8" s="15" t="s">
        <v>543</v>
      </c>
      <c r="G8" s="15" t="s">
        <v>64</v>
      </c>
    </row>
    <row r="9" spans="1:7" x14ac:dyDescent="0.25">
      <c r="A9" s="13" t="s">
        <v>701</v>
      </c>
      <c r="B9" s="6" t="s">
        <v>702</v>
      </c>
      <c r="C9" s="13" t="s">
        <v>60</v>
      </c>
      <c r="D9" s="6" t="s">
        <v>703</v>
      </c>
      <c r="E9" s="13" t="s">
        <v>59</v>
      </c>
      <c r="F9" s="13" t="s">
        <v>543</v>
      </c>
      <c r="G9" s="13" t="s">
        <v>64</v>
      </c>
    </row>
  </sheetData>
  <autoFilter ref="A2:G9"/>
  <mergeCells count="1">
    <mergeCell ref="A1:G1"/>
  </mergeCells>
  <conditionalFormatting sqref="C3:C9">
    <cfRule type="cellIs" dxfId="177" priority="1" operator="equal">
      <formula>"Critical"</formula>
    </cfRule>
    <cfRule type="cellIs" dxfId="178" priority="2" operator="equal">
      <formula>"High"</formula>
    </cfRule>
    <cfRule type="cellIs" dxfId="179" priority="3" operator="equal">
      <formula>"Medium"</formula>
    </cfRule>
    <cfRule type="cellIs" dxfId="180" priority="4" operator="equal">
      <formula>"Low"</formula>
    </cfRule>
  </conditionalFormatting>
  <dataValidations count="3">
    <dataValidation type="list" allowBlank="1" sqref="C3:C9">
      <formula1>"Critical,High,Medium,Low"</formula1>
    </dataValidation>
    <dataValidation type="list" allowBlank="1" sqref="F3:F9">
      <formula1>"Open,Mitigated,Closed"</formula1>
    </dataValidation>
    <dataValidation type="list" allowBlank="1" sqref="G3:G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5" width="40" customWidth="1"/>
  </cols>
  <sheetData>
    <row r="1" ht="24" customHeight="1" spans="1:5" x14ac:dyDescent="0.25">
      <c r="A1" s="40" t="s">
        <v>704</v>
      </c>
      <c r="B1" s="40"/>
      <c r="C1" s="40"/>
      <c r="D1" s="40"/>
      <c r="E1" s="40"/>
    </row>
    <row r="2" ht="26" customHeight="1" spans="1:5" x14ac:dyDescent="0.25">
      <c r="A2" s="12" t="s">
        <v>705</v>
      </c>
      <c r="B2" s="12" t="s">
        <v>706</v>
      </c>
      <c r="C2" s="12" t="s">
        <v>707</v>
      </c>
      <c r="D2" s="12" t="s">
        <v>48</v>
      </c>
      <c r="E2" s="12" t="s">
        <v>708</v>
      </c>
    </row>
    <row r="3" spans="1:5" x14ac:dyDescent="0.25">
      <c r="A3" s="13" t="s">
        <v>709</v>
      </c>
      <c r="B3" s="6" t="s">
        <v>710</v>
      </c>
      <c r="C3" s="13" t="s">
        <v>23</v>
      </c>
      <c r="D3" s="13" t="s">
        <v>17</v>
      </c>
      <c r="E3" s="6" t="s">
        <v>711</v>
      </c>
    </row>
    <row r="4" spans="1:5" x14ac:dyDescent="0.25">
      <c r="A4" s="15" t="s">
        <v>712</v>
      </c>
      <c r="B4" s="9" t="s">
        <v>713</v>
      </c>
      <c r="C4" s="15" t="s">
        <v>26</v>
      </c>
      <c r="D4" s="15" t="s">
        <v>17</v>
      </c>
      <c r="E4" s="9" t="s">
        <v>714</v>
      </c>
    </row>
    <row r="5" spans="1:5" x14ac:dyDescent="0.25">
      <c r="A5" s="13" t="s">
        <v>715</v>
      </c>
      <c r="B5" s="6" t="s">
        <v>716</v>
      </c>
      <c r="C5" s="13" t="s">
        <v>26</v>
      </c>
      <c r="D5" s="13" t="s">
        <v>17</v>
      </c>
      <c r="E5" s="6" t="s">
        <v>717</v>
      </c>
    </row>
    <row r="6" spans="1:5" x14ac:dyDescent="0.25">
      <c r="A6" s="15" t="s">
        <v>718</v>
      </c>
      <c r="B6" s="9" t="s">
        <v>719</v>
      </c>
      <c r="C6" s="15" t="s">
        <v>32</v>
      </c>
      <c r="D6" s="15" t="s">
        <v>17</v>
      </c>
      <c r="E6" s="9" t="s">
        <v>720</v>
      </c>
    </row>
    <row r="7" spans="1:5" x14ac:dyDescent="0.25">
      <c r="A7" s="13" t="s">
        <v>721</v>
      </c>
      <c r="B7" s="6" t="s">
        <v>722</v>
      </c>
      <c r="C7" s="13" t="s">
        <v>23</v>
      </c>
      <c r="D7" s="13" t="s">
        <v>17</v>
      </c>
      <c r="E7" s="6" t="s">
        <v>723</v>
      </c>
    </row>
    <row r="8" spans="1:5" x14ac:dyDescent="0.25">
      <c r="A8" s="15" t="s">
        <v>724</v>
      </c>
      <c r="B8" s="9" t="s">
        <v>725</v>
      </c>
      <c r="C8" s="15" t="s">
        <v>23</v>
      </c>
      <c r="D8" s="15" t="s">
        <v>17</v>
      </c>
      <c r="E8" s="9" t="s">
        <v>726</v>
      </c>
    </row>
  </sheetData>
  <autoFilter ref="A2:E8"/>
  <mergeCells count="1">
    <mergeCell ref="A1:E1"/>
  </mergeCells>
  <conditionalFormatting sqref="D3:D8">
    <cfRule type="cellIs" dxfId="181" priority="1" operator="equal">
      <formula>"Completed"</formula>
    </cfRule>
    <cfRule type="cellIs" dxfId="182" priority="2" operator="equal">
      <formula>"In Progress"</formula>
    </cfRule>
    <cfRule type="cellIs" dxfId="183" priority="3" operator="equal">
      <formula>"Review"</formula>
    </cfRule>
    <cfRule type="cellIs" dxfId="184" priority="4" operator="equal">
      <formula>"Blocked"</formula>
    </cfRule>
    <cfRule type="cellIs" dxfId="185" priority="5" operator="equal">
      <formula>"Not Started"</formula>
    </cfRule>
  </conditionalFormatting>
  <dataValidations count="1">
    <dataValidation type="list" allowBlank="1" sqref="D3:D8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2" width="40" customWidth="1"/>
  </cols>
  <sheetData>
    <row r="1" ht="24" customHeight="1" spans="1:12" x14ac:dyDescent="0.25">
      <c r="A1" s="40" t="s">
        <v>727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</row>
    <row r="2" ht="26" customHeight="1" spans="1:12" x14ac:dyDescent="0.25">
      <c r="A2" s="12" t="s">
        <v>607</v>
      </c>
      <c r="B2" s="12" t="s">
        <v>728</v>
      </c>
      <c r="C2" s="12" t="s">
        <v>729</v>
      </c>
      <c r="D2" s="12" t="s">
        <v>730</v>
      </c>
      <c r="E2" s="12" t="s">
        <v>731</v>
      </c>
      <c r="F2" s="12" t="s">
        <v>732</v>
      </c>
      <c r="G2" s="12" t="s">
        <v>733</v>
      </c>
      <c r="H2" s="12" t="s">
        <v>734</v>
      </c>
      <c r="I2" s="12" t="s">
        <v>735</v>
      </c>
      <c r="J2" s="12" t="s">
        <v>736</v>
      </c>
      <c r="K2" s="12" t="s">
        <v>707</v>
      </c>
      <c r="L2" s="12" t="s">
        <v>737</v>
      </c>
    </row>
    <row r="3" spans="1:12" x14ac:dyDescent="0.25">
      <c r="A3" s="9" t="s">
        <v>544</v>
      </c>
      <c r="B3" s="9" t="s">
        <v>26</v>
      </c>
      <c r="C3" s="9" t="s">
        <v>738</v>
      </c>
      <c r="D3" s="9" t="s">
        <v>739</v>
      </c>
      <c r="E3" s="9" t="s">
        <v>62</v>
      </c>
      <c r="F3" s="9" t="s">
        <v>62</v>
      </c>
      <c r="G3" s="9" t="s">
        <v>740</v>
      </c>
      <c r="H3" s="9" t="s">
        <v>741</v>
      </c>
      <c r="I3" s="9" t="s">
        <v>742</v>
      </c>
      <c r="J3" s="9" t="s">
        <v>743</v>
      </c>
      <c r="K3" s="9" t="s">
        <v>26</v>
      </c>
      <c r="L3" s="9" t="s">
        <v>744</v>
      </c>
    </row>
    <row r="4" spans="1:12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spans="1:12" x14ac:dyDescent="0.2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</row>
    <row r="6" spans="1:12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spans="1:12" x14ac:dyDescent="0.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</row>
    <row r="8" spans="1:12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spans="1:12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</row>
    <row r="10" spans="1:12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</row>
    <row r="12" spans="1:12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</row>
    <row r="14" spans="1:12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</row>
    <row r="16" spans="1:12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</row>
    <row r="18" spans="1:12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</row>
    <row r="20" spans="1:12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</row>
    <row r="22" spans="1:12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</row>
    <row r="24" spans="1:12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</row>
    <row r="26" spans="1:12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</row>
    <row r="28" spans="1:12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</row>
    <row r="30" spans="1:12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</sheetData>
  <autoFilter ref="A2:L30"/>
  <mergeCells count="1">
    <mergeCell ref="A1:L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9" width="40" customWidth="1"/>
  </cols>
  <sheetData>
    <row r="1" ht="24" customHeight="1" spans="1:9" x14ac:dyDescent="0.25">
      <c r="A1" s="40" t="s">
        <v>745</v>
      </c>
      <c r="B1" s="40"/>
      <c r="C1" s="40"/>
      <c r="D1" s="40"/>
      <c r="E1" s="40"/>
      <c r="F1" s="40"/>
      <c r="G1" s="40"/>
      <c r="H1" s="40"/>
      <c r="I1" s="40"/>
    </row>
    <row r="2" ht="26" customHeight="1" spans="1:9" x14ac:dyDescent="0.25">
      <c r="A2" s="12" t="s">
        <v>746</v>
      </c>
      <c r="B2" s="12" t="s">
        <v>44</v>
      </c>
      <c r="C2" s="12" t="s">
        <v>747</v>
      </c>
      <c r="D2" s="12" t="s">
        <v>748</v>
      </c>
      <c r="E2" s="12" t="s">
        <v>749</v>
      </c>
      <c r="F2" s="12" t="s">
        <v>48</v>
      </c>
      <c r="G2" s="12" t="s">
        <v>750</v>
      </c>
      <c r="H2" s="12" t="s">
        <v>529</v>
      </c>
      <c r="I2" s="12" t="s">
        <v>54</v>
      </c>
    </row>
    <row r="3" spans="1:9" x14ac:dyDescent="0.25">
      <c r="A3" s="15" t="s">
        <v>751</v>
      </c>
      <c r="B3" s="9" t="s">
        <v>24</v>
      </c>
      <c r="C3" s="9" t="s">
        <v>752</v>
      </c>
      <c r="D3" s="9" t="s">
        <v>753</v>
      </c>
      <c r="E3" s="15" t="s">
        <v>26</v>
      </c>
      <c r="F3" s="15" t="s">
        <v>61</v>
      </c>
      <c r="G3" s="15" t="s">
        <v>64</v>
      </c>
      <c r="H3" s="15" t="s">
        <v>364</v>
      </c>
      <c r="I3" s="9" t="s">
        <v>754</v>
      </c>
    </row>
    <row r="4" spans="1:9" x14ac:dyDescent="0.25">
      <c r="A4" s="13" t="s">
        <v>755</v>
      </c>
      <c r="B4" s="6" t="s">
        <v>27</v>
      </c>
      <c r="C4" s="6" t="s">
        <v>756</v>
      </c>
      <c r="D4" s="6" t="s">
        <v>757</v>
      </c>
      <c r="E4" s="13" t="s">
        <v>26</v>
      </c>
      <c r="F4" s="13" t="s">
        <v>61</v>
      </c>
      <c r="G4" s="13" t="s">
        <v>64</v>
      </c>
      <c r="H4" s="13" t="s">
        <v>364</v>
      </c>
      <c r="I4" s="6" t="s">
        <v>758</v>
      </c>
    </row>
    <row r="5" spans="1:9" x14ac:dyDescent="0.25">
      <c r="A5" s="15" t="s">
        <v>759</v>
      </c>
      <c r="B5" s="9" t="s">
        <v>24</v>
      </c>
      <c r="C5" s="9" t="s">
        <v>760</v>
      </c>
      <c r="D5" s="9" t="s">
        <v>761</v>
      </c>
      <c r="E5" s="15" t="s">
        <v>26</v>
      </c>
      <c r="F5" s="15" t="s">
        <v>61</v>
      </c>
      <c r="G5" s="15" t="s">
        <v>64</v>
      </c>
      <c r="H5" s="15" t="s">
        <v>364</v>
      </c>
      <c r="I5" s="9" t="s">
        <v>762</v>
      </c>
    </row>
    <row r="6" spans="1:9" x14ac:dyDescent="0.25">
      <c r="A6" s="13" t="s">
        <v>763</v>
      </c>
      <c r="B6" s="6" t="s">
        <v>27</v>
      </c>
      <c r="C6" s="6" t="s">
        <v>764</v>
      </c>
      <c r="D6" s="6" t="s">
        <v>765</v>
      </c>
      <c r="E6" s="13" t="s">
        <v>23</v>
      </c>
      <c r="F6" s="13" t="s">
        <v>61</v>
      </c>
      <c r="G6" s="13" t="s">
        <v>64</v>
      </c>
      <c r="H6" s="13" t="s">
        <v>364</v>
      </c>
      <c r="I6" s="6" t="s">
        <v>766</v>
      </c>
    </row>
    <row r="7" spans="1:9" x14ac:dyDescent="0.25">
      <c r="A7" s="15" t="s">
        <v>767</v>
      </c>
      <c r="B7" s="9" t="s">
        <v>36</v>
      </c>
      <c r="C7" s="9" t="s">
        <v>768</v>
      </c>
      <c r="D7" s="9" t="s">
        <v>757</v>
      </c>
      <c r="E7" s="15" t="s">
        <v>35</v>
      </c>
      <c r="F7" s="15" t="s">
        <v>61</v>
      </c>
      <c r="G7" s="15" t="s">
        <v>64</v>
      </c>
      <c r="H7" s="15" t="s">
        <v>364</v>
      </c>
      <c r="I7" s="9" t="s">
        <v>769</v>
      </c>
    </row>
    <row r="8" spans="1:9" x14ac:dyDescent="0.25">
      <c r="A8" s="13" t="s">
        <v>770</v>
      </c>
      <c r="B8" s="6" t="s">
        <v>33</v>
      </c>
      <c r="C8" s="6" t="s">
        <v>771</v>
      </c>
      <c r="D8" s="6" t="s">
        <v>772</v>
      </c>
      <c r="E8" s="13" t="s">
        <v>26</v>
      </c>
      <c r="F8" s="13" t="s">
        <v>61</v>
      </c>
      <c r="G8" s="13" t="s">
        <v>64</v>
      </c>
      <c r="H8" s="13" t="s">
        <v>364</v>
      </c>
      <c r="I8" s="6" t="s">
        <v>773</v>
      </c>
    </row>
    <row r="9" spans="1:9" x14ac:dyDescent="0.25">
      <c r="A9" s="15" t="s">
        <v>774</v>
      </c>
      <c r="B9" s="9" t="s">
        <v>36</v>
      </c>
      <c r="C9" s="9" t="s">
        <v>36</v>
      </c>
      <c r="D9" s="9" t="s">
        <v>775</v>
      </c>
      <c r="E9" s="15" t="s">
        <v>35</v>
      </c>
      <c r="F9" s="15" t="s">
        <v>61</v>
      </c>
      <c r="G9" s="15" t="s">
        <v>64</v>
      </c>
      <c r="H9" s="15" t="s">
        <v>364</v>
      </c>
      <c r="I9" s="9" t="s">
        <v>776</v>
      </c>
    </row>
    <row r="10" spans="1:9" x14ac:dyDescent="0.25">
      <c r="A10" s="13" t="s">
        <v>777</v>
      </c>
      <c r="B10" s="6" t="s">
        <v>33</v>
      </c>
      <c r="C10" s="6" t="s">
        <v>778</v>
      </c>
      <c r="D10" s="6" t="s">
        <v>761</v>
      </c>
      <c r="E10" s="13" t="s">
        <v>23</v>
      </c>
      <c r="F10" s="13" t="s">
        <v>61</v>
      </c>
      <c r="G10" s="13" t="s">
        <v>64</v>
      </c>
      <c r="H10" s="13" t="s">
        <v>364</v>
      </c>
      <c r="I10" s="6" t="s">
        <v>779</v>
      </c>
    </row>
    <row r="11" spans="1:9" x14ac:dyDescent="0.25">
      <c r="A11" s="15" t="s">
        <v>780</v>
      </c>
      <c r="B11" s="9" t="s">
        <v>27</v>
      </c>
      <c r="C11" s="9" t="s">
        <v>781</v>
      </c>
      <c r="D11" s="9" t="s">
        <v>782</v>
      </c>
      <c r="E11" s="15" t="s">
        <v>26</v>
      </c>
      <c r="F11" s="15" t="s">
        <v>61</v>
      </c>
      <c r="G11" s="15" t="s">
        <v>64</v>
      </c>
      <c r="H11" s="15" t="s">
        <v>364</v>
      </c>
      <c r="I11" s="9" t="s">
        <v>783</v>
      </c>
    </row>
    <row r="12" spans="1:9" x14ac:dyDescent="0.25">
      <c r="A12" s="13" t="s">
        <v>784</v>
      </c>
      <c r="B12" s="6" t="s">
        <v>24</v>
      </c>
      <c r="C12" s="6" t="s">
        <v>785</v>
      </c>
      <c r="D12" s="6" t="s">
        <v>761</v>
      </c>
      <c r="E12" s="13" t="s">
        <v>23</v>
      </c>
      <c r="F12" s="13" t="s">
        <v>61</v>
      </c>
      <c r="G12" s="13" t="s">
        <v>64</v>
      </c>
      <c r="H12" s="13" t="s">
        <v>364</v>
      </c>
      <c r="I12" s="6" t="s">
        <v>786</v>
      </c>
    </row>
    <row r="13" spans="1:9" x14ac:dyDescent="0.25">
      <c r="A13" s="9"/>
      <c r="B13" s="9"/>
      <c r="C13" s="9"/>
      <c r="D13" s="9"/>
      <c r="E13" s="9"/>
      <c r="F13" s="9"/>
      <c r="G13" s="9"/>
      <c r="H13" s="9"/>
      <c r="I13" s="9"/>
    </row>
    <row r="14" spans="1:9" x14ac:dyDescent="0.25">
      <c r="A14" s="6"/>
      <c r="B14" s="6"/>
      <c r="C14" s="6"/>
      <c r="D14" s="6"/>
      <c r="E14" s="6"/>
      <c r="F14" s="6"/>
      <c r="G14" s="6"/>
      <c r="H14" s="6"/>
      <c r="I14" s="6"/>
    </row>
    <row r="15" spans="1:9" x14ac:dyDescent="0.25">
      <c r="A15" s="9"/>
      <c r="B15" s="9"/>
      <c r="C15" s="9"/>
      <c r="D15" s="9"/>
      <c r="E15" s="9"/>
      <c r="F15" s="9"/>
      <c r="G15" s="9"/>
      <c r="H15" s="9"/>
      <c r="I15" s="9"/>
    </row>
    <row r="16" spans="1:9" x14ac:dyDescent="0.25">
      <c r="A16" s="6"/>
      <c r="B16" s="6"/>
      <c r="C16" s="6"/>
      <c r="D16" s="6"/>
      <c r="E16" s="6"/>
      <c r="F16" s="6"/>
      <c r="G16" s="6"/>
      <c r="H16" s="6"/>
      <c r="I16" s="6"/>
    </row>
    <row r="17" spans="1:9" x14ac:dyDescent="0.25">
      <c r="A17" s="9"/>
      <c r="B17" s="9"/>
      <c r="C17" s="9"/>
      <c r="D17" s="9"/>
      <c r="E17" s="9"/>
      <c r="F17" s="9"/>
      <c r="G17" s="9"/>
      <c r="H17" s="9"/>
      <c r="I17" s="9"/>
    </row>
    <row r="18" spans="1:9" x14ac:dyDescent="0.25">
      <c r="A18" s="6"/>
      <c r="B18" s="6"/>
      <c r="C18" s="6"/>
      <c r="D18" s="6"/>
      <c r="E18" s="6"/>
      <c r="F18" s="6"/>
      <c r="G18" s="6"/>
      <c r="H18" s="6"/>
      <c r="I18" s="6"/>
    </row>
    <row r="19" spans="1:9" x14ac:dyDescent="0.25">
      <c r="A19" s="9"/>
      <c r="B19" s="9"/>
      <c r="C19" s="9"/>
      <c r="D19" s="9"/>
      <c r="E19" s="9"/>
      <c r="F19" s="9"/>
      <c r="G19" s="9"/>
      <c r="H19" s="9"/>
      <c r="I19" s="9"/>
    </row>
    <row r="20" spans="1:9" x14ac:dyDescent="0.25">
      <c r="A20" s="6"/>
      <c r="B20" s="6"/>
      <c r="C20" s="6"/>
      <c r="D20" s="6"/>
      <c r="E20" s="6"/>
      <c r="F20" s="6"/>
      <c r="G20" s="6"/>
      <c r="H20" s="6"/>
      <c r="I20" s="6"/>
    </row>
    <row r="21" spans="1:9" x14ac:dyDescent="0.25">
      <c r="A21" s="9"/>
      <c r="B21" s="9"/>
      <c r="C21" s="9"/>
      <c r="D21" s="9"/>
      <c r="E21" s="9"/>
      <c r="F21" s="9"/>
      <c r="G21" s="9"/>
      <c r="H21" s="9"/>
      <c r="I21" s="9"/>
    </row>
    <row r="22" spans="1:9" x14ac:dyDescent="0.25">
      <c r="A22" s="6"/>
      <c r="B22" s="6"/>
      <c r="C22" s="6"/>
      <c r="D22" s="6"/>
      <c r="E22" s="6"/>
      <c r="F22" s="6"/>
      <c r="G22" s="6"/>
      <c r="H22" s="6"/>
      <c r="I22" s="6"/>
    </row>
    <row r="23" spans="1:9" x14ac:dyDescent="0.25">
      <c r="A23" s="9"/>
      <c r="B23" s="9"/>
      <c r="C23" s="9"/>
      <c r="D23" s="9"/>
      <c r="E23" s="9"/>
      <c r="F23" s="9"/>
      <c r="G23" s="9"/>
      <c r="H23" s="9"/>
      <c r="I23" s="9"/>
    </row>
    <row r="24" spans="1:9" x14ac:dyDescent="0.25">
      <c r="A24" s="6"/>
      <c r="B24" s="6"/>
      <c r="C24" s="6"/>
      <c r="D24" s="6"/>
      <c r="E24" s="6"/>
      <c r="F24" s="6"/>
      <c r="G24" s="6"/>
      <c r="H24" s="6"/>
      <c r="I24" s="6"/>
    </row>
    <row r="25" spans="1:9" x14ac:dyDescent="0.25">
      <c r="A25" s="9"/>
      <c r="B25" s="9"/>
      <c r="C25" s="9"/>
      <c r="D25" s="9"/>
      <c r="E25" s="9"/>
      <c r="F25" s="9"/>
      <c r="G25" s="9"/>
      <c r="H25" s="9"/>
      <c r="I25" s="9"/>
    </row>
    <row r="26" spans="1:9" x14ac:dyDescent="0.25">
      <c r="A26" s="6"/>
      <c r="B26" s="6"/>
      <c r="C26" s="6"/>
      <c r="D26" s="6"/>
      <c r="E26" s="6"/>
      <c r="F26" s="6"/>
      <c r="G26" s="6"/>
      <c r="H26" s="6"/>
      <c r="I26" s="6"/>
    </row>
    <row r="27" spans="1:9" x14ac:dyDescent="0.25">
      <c r="A27" s="9"/>
      <c r="B27" s="9"/>
      <c r="C27" s="9"/>
      <c r="D27" s="9"/>
      <c r="E27" s="9"/>
      <c r="F27" s="9"/>
      <c r="G27" s="9"/>
      <c r="H27" s="9"/>
      <c r="I27" s="9"/>
    </row>
    <row r="28" spans="1:9" x14ac:dyDescent="0.25">
      <c r="A28" s="6"/>
      <c r="B28" s="6"/>
      <c r="C28" s="6"/>
      <c r="D28" s="6"/>
      <c r="E28" s="6"/>
      <c r="F28" s="6"/>
      <c r="G28" s="6"/>
      <c r="H28" s="6"/>
      <c r="I28" s="6"/>
    </row>
    <row r="29" spans="1:9" x14ac:dyDescent="0.25">
      <c r="A29" s="9"/>
      <c r="B29" s="9"/>
      <c r="C29" s="9"/>
      <c r="D29" s="9"/>
      <c r="E29" s="9"/>
      <c r="F29" s="9"/>
      <c r="G29" s="9"/>
      <c r="H29" s="9"/>
      <c r="I29" s="9"/>
    </row>
    <row r="30" spans="1:9" x14ac:dyDescent="0.25">
      <c r="A30" s="6"/>
      <c r="B30" s="6"/>
      <c r="C30" s="6"/>
      <c r="D30" s="6"/>
      <c r="E30" s="6"/>
      <c r="F30" s="6"/>
      <c r="G30" s="6"/>
      <c r="H30" s="6"/>
      <c r="I30" s="6"/>
    </row>
  </sheetData>
  <autoFilter ref="A2:I30"/>
  <mergeCells count="1">
    <mergeCell ref="A1:I1"/>
  </mergeCells>
  <conditionalFormatting sqref="F3:F30">
    <cfRule type="cellIs" dxfId="186" priority="1" operator="equal">
      <formula>"Completed"</formula>
    </cfRule>
    <cfRule type="cellIs" dxfId="187" priority="2" operator="equal">
      <formula>"In Progress"</formula>
    </cfRule>
    <cfRule type="cellIs" dxfId="188" priority="3" operator="equal">
      <formula>"Review"</formula>
    </cfRule>
    <cfRule type="cellIs" dxfId="189" priority="4" operator="equal">
      <formula>"Blocked"</formula>
    </cfRule>
    <cfRule type="cellIs" dxfId="190" priority="5" operator="equal">
      <formula>"Not Started"</formula>
    </cfRule>
  </conditionalFormatting>
  <dataValidations count="6">
    <dataValidation type="list" allowBlank="1" sqref="E10:E30">
      <formula1>"Adithyan N,Minha Palakkathodi,Fadi Ahmed"</formula1>
    </dataValidation>
    <dataValidation type="list" allowBlank="1" sqref="E3:E30">
      <formula1>"Adithyan N,Minha Palakkathodi,Fadi Ahmed"</formula1>
    </dataValidation>
    <dataValidation type="list" allowBlank="1" sqref="F10:F30">
      <formula1>"Not Started,In Progress,Passed,Failed,Blocked"</formula1>
    </dataValidation>
    <dataValidation type="list" allowBlank="1" sqref="F3:F30">
      <formula1>"Not Started,In Progress,Passed,Failed,Blocked"</formula1>
    </dataValidation>
    <dataValidation type="list" allowBlank="1" sqref="G10:G30">
      <formula1>"Yes,No"</formula1>
    </dataValidation>
    <dataValidation type="list" allowBlank="1" sqref="G3:G3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7" width="40" customWidth="1"/>
  </cols>
  <sheetData>
    <row r="1" ht="24" customHeight="1" spans="1:7" x14ac:dyDescent="0.25">
      <c r="A1" s="40" t="s">
        <v>787</v>
      </c>
      <c r="B1" s="40"/>
      <c r="C1" s="40"/>
      <c r="D1" s="40"/>
      <c r="E1" s="40"/>
      <c r="F1" s="40"/>
      <c r="G1" s="40"/>
    </row>
    <row r="2" ht="26" customHeight="1" spans="1:7" x14ac:dyDescent="0.25">
      <c r="A2" s="12" t="s">
        <v>788</v>
      </c>
      <c r="B2" s="12" t="s">
        <v>707</v>
      </c>
      <c r="C2" s="12" t="s">
        <v>789</v>
      </c>
      <c r="D2" s="12" t="s">
        <v>538</v>
      </c>
      <c r="E2" s="12" t="s">
        <v>539</v>
      </c>
      <c r="F2" s="12" t="s">
        <v>790</v>
      </c>
      <c r="G2" s="12" t="s">
        <v>54</v>
      </c>
    </row>
    <row r="3" spans="1:7" x14ac:dyDescent="0.25">
      <c r="A3" s="9" t="s">
        <v>791</v>
      </c>
      <c r="B3" s="15" t="s">
        <v>26</v>
      </c>
      <c r="C3" s="15" t="s">
        <v>61</v>
      </c>
      <c r="D3" s="15" t="s">
        <v>26</v>
      </c>
      <c r="E3" s="15" t="s">
        <v>364</v>
      </c>
      <c r="F3" s="15" t="s">
        <v>73</v>
      </c>
      <c r="G3" s="9" t="s">
        <v>792</v>
      </c>
    </row>
    <row r="4" spans="1:7" x14ac:dyDescent="0.25">
      <c r="A4" s="6" t="s">
        <v>793</v>
      </c>
      <c r="B4" s="13" t="s">
        <v>26</v>
      </c>
      <c r="C4" s="13" t="s">
        <v>61</v>
      </c>
      <c r="D4" s="13" t="s">
        <v>26</v>
      </c>
      <c r="E4" s="13" t="s">
        <v>364</v>
      </c>
      <c r="F4" s="13" t="s">
        <v>73</v>
      </c>
      <c r="G4" s="6" t="s">
        <v>794</v>
      </c>
    </row>
    <row r="5" spans="1:7" x14ac:dyDescent="0.25">
      <c r="A5" s="9" t="s">
        <v>795</v>
      </c>
      <c r="B5" s="15" t="s">
        <v>26</v>
      </c>
      <c r="C5" s="15" t="s">
        <v>61</v>
      </c>
      <c r="D5" s="15" t="s">
        <v>26</v>
      </c>
      <c r="E5" s="15" t="s">
        <v>364</v>
      </c>
      <c r="F5" s="15" t="s">
        <v>73</v>
      </c>
      <c r="G5" s="9" t="s">
        <v>796</v>
      </c>
    </row>
    <row r="6" spans="1:7" x14ac:dyDescent="0.25">
      <c r="A6" s="6" t="s">
        <v>797</v>
      </c>
      <c r="B6" s="13" t="s">
        <v>26</v>
      </c>
      <c r="C6" s="13" t="s">
        <v>61</v>
      </c>
      <c r="D6" s="13" t="s">
        <v>26</v>
      </c>
      <c r="E6" s="13" t="s">
        <v>364</v>
      </c>
      <c r="F6" s="13" t="s">
        <v>60</v>
      </c>
      <c r="G6" s="6" t="s">
        <v>798</v>
      </c>
    </row>
    <row r="7" spans="1:7" x14ac:dyDescent="0.25">
      <c r="A7" s="9" t="s">
        <v>799</v>
      </c>
      <c r="B7" s="15" t="s">
        <v>26</v>
      </c>
      <c r="C7" s="15" t="s">
        <v>61</v>
      </c>
      <c r="D7" s="15" t="s">
        <v>26</v>
      </c>
      <c r="E7" s="15" t="s">
        <v>364</v>
      </c>
      <c r="F7" s="15" t="s">
        <v>60</v>
      </c>
      <c r="G7" s="9" t="s">
        <v>800</v>
      </c>
    </row>
    <row r="8" spans="1:7" x14ac:dyDescent="0.25">
      <c r="A8" s="6" t="s">
        <v>801</v>
      </c>
      <c r="B8" s="13" t="s">
        <v>26</v>
      </c>
      <c r="C8" s="13" t="s">
        <v>61</v>
      </c>
      <c r="D8" s="13" t="s">
        <v>26</v>
      </c>
      <c r="E8" s="13" t="s">
        <v>364</v>
      </c>
      <c r="F8" s="13" t="s">
        <v>60</v>
      </c>
      <c r="G8" s="6" t="s">
        <v>802</v>
      </c>
    </row>
    <row r="9" spans="1:7" x14ac:dyDescent="0.25">
      <c r="A9" s="9" t="s">
        <v>803</v>
      </c>
      <c r="B9" s="15" t="s">
        <v>26</v>
      </c>
      <c r="C9" s="15" t="s">
        <v>61</v>
      </c>
      <c r="D9" s="15" t="s">
        <v>26</v>
      </c>
      <c r="E9" s="15" t="s">
        <v>364</v>
      </c>
      <c r="F9" s="15" t="s">
        <v>73</v>
      </c>
      <c r="G9" s="9" t="s">
        <v>804</v>
      </c>
    </row>
    <row r="10" spans="1:7" x14ac:dyDescent="0.25">
      <c r="A10" s="6" t="s">
        <v>805</v>
      </c>
      <c r="B10" s="13" t="s">
        <v>26</v>
      </c>
      <c r="C10" s="13" t="s">
        <v>61</v>
      </c>
      <c r="D10" s="13" t="s">
        <v>26</v>
      </c>
      <c r="E10" s="13" t="s">
        <v>364</v>
      </c>
      <c r="F10" s="13" t="s">
        <v>60</v>
      </c>
      <c r="G10" s="6" t="s">
        <v>806</v>
      </c>
    </row>
    <row r="11" spans="1:7" x14ac:dyDescent="0.25">
      <c r="A11" s="9" t="s">
        <v>807</v>
      </c>
      <c r="B11" s="15" t="s">
        <v>26</v>
      </c>
      <c r="C11" s="15" t="s">
        <v>61</v>
      </c>
      <c r="D11" s="15" t="s">
        <v>26</v>
      </c>
      <c r="E11" s="15" t="s">
        <v>364</v>
      </c>
      <c r="F11" s="15" t="s">
        <v>80</v>
      </c>
      <c r="G11" s="9" t="s">
        <v>808</v>
      </c>
    </row>
    <row r="12" spans="1:7" x14ac:dyDescent="0.25">
      <c r="A12" s="6" t="s">
        <v>809</v>
      </c>
      <c r="B12" s="13" t="s">
        <v>26</v>
      </c>
      <c r="C12" s="13" t="s">
        <v>61</v>
      </c>
      <c r="D12" s="13" t="s">
        <v>26</v>
      </c>
      <c r="E12" s="13" t="s">
        <v>364</v>
      </c>
      <c r="F12" s="13" t="s">
        <v>60</v>
      </c>
      <c r="G12" s="6" t="s">
        <v>810</v>
      </c>
    </row>
    <row r="13" spans="1:7" x14ac:dyDescent="0.25">
      <c r="A13" s="9" t="s">
        <v>811</v>
      </c>
      <c r="B13" s="15" t="s">
        <v>26</v>
      </c>
      <c r="C13" s="15" t="s">
        <v>61</v>
      </c>
      <c r="D13" s="15" t="s">
        <v>26</v>
      </c>
      <c r="E13" s="15" t="s">
        <v>364</v>
      </c>
      <c r="F13" s="15" t="s">
        <v>73</v>
      </c>
      <c r="G13" s="9" t="s">
        <v>812</v>
      </c>
    </row>
    <row r="14" spans="1:7" x14ac:dyDescent="0.25">
      <c r="A14" s="6" t="s">
        <v>813</v>
      </c>
      <c r="B14" s="13" t="s">
        <v>26</v>
      </c>
      <c r="C14" s="13" t="s">
        <v>61</v>
      </c>
      <c r="D14" s="13" t="s">
        <v>26</v>
      </c>
      <c r="E14" s="13" t="s">
        <v>364</v>
      </c>
      <c r="F14" s="13" t="s">
        <v>80</v>
      </c>
      <c r="G14" s="6" t="s">
        <v>814</v>
      </c>
    </row>
    <row r="15" spans="1:7" x14ac:dyDescent="0.25">
      <c r="A15" s="9" t="s">
        <v>815</v>
      </c>
      <c r="B15" s="15" t="s">
        <v>26</v>
      </c>
      <c r="C15" s="15" t="s">
        <v>61</v>
      </c>
      <c r="D15" s="15" t="s">
        <v>26</v>
      </c>
      <c r="E15" s="15" t="s">
        <v>364</v>
      </c>
      <c r="F15" s="15" t="s">
        <v>60</v>
      </c>
      <c r="G15" s="9" t="s">
        <v>816</v>
      </c>
    </row>
    <row r="16" spans="1:7" x14ac:dyDescent="0.25">
      <c r="A16" s="6"/>
      <c r="B16" s="6"/>
      <c r="C16" s="6"/>
      <c r="D16" s="6"/>
      <c r="E16" s="6"/>
      <c r="F16" s="6"/>
      <c r="G16" s="6"/>
    </row>
    <row r="17" spans="1:7" x14ac:dyDescent="0.25">
      <c r="A17" s="9"/>
      <c r="B17" s="9"/>
      <c r="C17" s="9"/>
      <c r="D17" s="9"/>
      <c r="E17" s="9"/>
      <c r="F17" s="9"/>
      <c r="G17" s="9"/>
    </row>
    <row r="18" spans="1:7" x14ac:dyDescent="0.25">
      <c r="A18" s="6"/>
      <c r="B18" s="6"/>
      <c r="C18" s="6"/>
      <c r="D18" s="6"/>
      <c r="E18" s="6"/>
      <c r="F18" s="6"/>
      <c r="G18" s="6"/>
    </row>
    <row r="19" spans="1:7" x14ac:dyDescent="0.25">
      <c r="A19" s="9"/>
      <c r="B19" s="9"/>
      <c r="C19" s="9"/>
      <c r="D19" s="9"/>
      <c r="E19" s="9"/>
      <c r="F19" s="9"/>
      <c r="G19" s="9"/>
    </row>
    <row r="20" spans="1:7" x14ac:dyDescent="0.25">
      <c r="A20" s="6"/>
      <c r="B20" s="6"/>
      <c r="C20" s="6"/>
      <c r="D20" s="6"/>
      <c r="E20" s="6"/>
      <c r="F20" s="6"/>
      <c r="G20" s="6"/>
    </row>
    <row r="21" spans="1:7" x14ac:dyDescent="0.25">
      <c r="A21" s="9"/>
      <c r="B21" s="9"/>
      <c r="C21" s="9"/>
      <c r="D21" s="9"/>
      <c r="E21" s="9"/>
      <c r="F21" s="9"/>
      <c r="G21" s="9"/>
    </row>
    <row r="22" spans="1:7" x14ac:dyDescent="0.25">
      <c r="A22" s="6"/>
      <c r="B22" s="6"/>
      <c r="C22" s="6"/>
      <c r="D22" s="6"/>
      <c r="E22" s="6"/>
      <c r="F22" s="6"/>
      <c r="G22" s="6"/>
    </row>
    <row r="23" spans="1:7" x14ac:dyDescent="0.25">
      <c r="A23" s="9"/>
      <c r="B23" s="9"/>
      <c r="C23" s="9"/>
      <c r="D23" s="9"/>
      <c r="E23" s="9"/>
      <c r="F23" s="9"/>
      <c r="G23" s="9"/>
    </row>
    <row r="24" spans="1:7" x14ac:dyDescent="0.25">
      <c r="A24" s="6"/>
      <c r="B24" s="6"/>
      <c r="C24" s="6"/>
      <c r="D24" s="6"/>
      <c r="E24" s="6"/>
      <c r="F24" s="6"/>
      <c r="G24" s="6"/>
    </row>
    <row r="25" spans="1:7" x14ac:dyDescent="0.25">
      <c r="A25" s="9"/>
      <c r="B25" s="9"/>
      <c r="C25" s="9"/>
      <c r="D25" s="9"/>
      <c r="E25" s="9"/>
      <c r="F25" s="9"/>
      <c r="G25" s="9"/>
    </row>
    <row r="26" spans="1:7" x14ac:dyDescent="0.25">
      <c r="A26" s="6"/>
      <c r="B26" s="6"/>
      <c r="C26" s="6"/>
      <c r="D26" s="6"/>
      <c r="E26" s="6"/>
      <c r="F26" s="6"/>
      <c r="G26" s="6"/>
    </row>
    <row r="27" spans="1:7" x14ac:dyDescent="0.25">
      <c r="A27" s="9"/>
      <c r="B27" s="9"/>
      <c r="C27" s="9"/>
      <c r="D27" s="9"/>
      <c r="E27" s="9"/>
      <c r="F27" s="9"/>
      <c r="G27" s="9"/>
    </row>
    <row r="28" spans="1:7" x14ac:dyDescent="0.25">
      <c r="A28" s="6"/>
      <c r="B28" s="6"/>
      <c r="C28" s="6"/>
      <c r="D28" s="6"/>
      <c r="E28" s="6"/>
      <c r="F28" s="6"/>
      <c r="G28" s="6"/>
    </row>
    <row r="29" spans="1:7" x14ac:dyDescent="0.25">
      <c r="A29" s="9"/>
      <c r="B29" s="9"/>
      <c r="C29" s="9"/>
      <c r="D29" s="9"/>
      <c r="E29" s="9"/>
      <c r="F29" s="9"/>
      <c r="G29" s="9"/>
    </row>
    <row r="30" spans="1:7" x14ac:dyDescent="0.25">
      <c r="A30" s="6"/>
      <c r="B30" s="6"/>
      <c r="C30" s="6"/>
      <c r="D30" s="6"/>
      <c r="E30" s="6"/>
      <c r="F30" s="6"/>
      <c r="G30" s="6"/>
    </row>
  </sheetData>
  <autoFilter ref="A2:G15"/>
  <mergeCells count="1">
    <mergeCell ref="A1:G1"/>
  </mergeCells>
  <conditionalFormatting sqref="C3:C15">
    <cfRule type="cellIs" dxfId="191" priority="1" operator="equal">
      <formula>"Completed"</formula>
    </cfRule>
    <cfRule type="cellIs" dxfId="192" priority="2" operator="equal">
      <formula>"In Progress"</formula>
    </cfRule>
    <cfRule type="cellIs" dxfId="193" priority="3" operator="equal">
      <formula>"Review"</formula>
    </cfRule>
    <cfRule type="cellIs" dxfId="194" priority="4" operator="equal">
      <formula>"Blocked"</formula>
    </cfRule>
    <cfRule type="cellIs" dxfId="195" priority="5" operator="equal">
      <formula>"Not Started"</formula>
    </cfRule>
  </conditionalFormatting>
  <conditionalFormatting sqref="F3:F15">
    <cfRule type="cellIs" dxfId="196" priority="6" operator="equal">
      <formula>"Critical"</formula>
    </cfRule>
    <cfRule type="cellIs" dxfId="197" priority="7" operator="equal">
      <formula>"High"</formula>
    </cfRule>
    <cfRule type="cellIs" dxfId="198" priority="8" operator="equal">
      <formula>"Medium"</formula>
    </cfRule>
    <cfRule type="cellIs" dxfId="199" priority="9" operator="equal">
      <formula>"Low"</formula>
    </cfRule>
  </conditionalFormatting>
  <dataValidations count="4">
    <dataValidation type="list" allowBlank="1" sqref="C10:C30">
      <formula1>"Not Started,In Progress,Passed,Failed,Blocked"</formula1>
    </dataValidation>
    <dataValidation type="list" allowBlank="1" sqref="C3:C30">
      <formula1>"Not Started,In Progress,Passed,Failed,Blocked"</formula1>
    </dataValidation>
    <dataValidation type="list" allowBlank="1" sqref="F10:F30">
      <formula1>"Critical,High,Medium,Low"</formula1>
    </dataValidation>
    <dataValidation type="list" allowBlank="1" sqref="F3:F30">
      <formula1>"Critical,High,Medium,Low"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FormatPr defaultRowHeight="15" outlineLevelRow="0" outlineLevelCol="0" x14ac:dyDescent="55"/>
  <cols>
    <col min="1" max="6" width="40" customWidth="1"/>
  </cols>
  <sheetData>
    <row r="1" ht="30" customHeight="1" spans="1:6" x14ac:dyDescent="0.25">
      <c r="A1" s="1" t="s">
        <v>817</v>
      </c>
      <c r="B1" s="1"/>
      <c r="C1" s="1"/>
      <c r="D1" s="1"/>
      <c r="E1" s="1"/>
      <c r="F1" s="1"/>
    </row>
    <row r="2" spans="1:6" x14ac:dyDescent="0.25"/>
    <row r="3" ht="20" customHeight="1" spans="1:6" x14ac:dyDescent="0.25">
      <c r="A3" s="41" t="s">
        <v>818</v>
      </c>
      <c r="B3" s="42"/>
      <c r="C3" s="42"/>
      <c r="D3" s="42"/>
      <c r="E3" s="42"/>
      <c r="F3" s="42"/>
    </row>
    <row r="4" ht="36" customHeight="1" spans="1:6" x14ac:dyDescent="0.25">
      <c r="A4" s="43" t="s">
        <v>819</v>
      </c>
      <c r="B4" s="43"/>
      <c r="C4" s="43"/>
      <c r="D4" s="43"/>
      <c r="E4" s="43"/>
      <c r="F4" s="43"/>
    </row>
    <row r="5" ht="20" customHeight="1" spans="1:6" x14ac:dyDescent="0.25">
      <c r="A5" s="41" t="s">
        <v>820</v>
      </c>
      <c r="B5" s="42"/>
      <c r="C5" s="42"/>
      <c r="D5" s="42"/>
      <c r="E5" s="42"/>
      <c r="F5" s="42"/>
    </row>
    <row r="6" ht="36" customHeight="1" spans="1:6" x14ac:dyDescent="0.25">
      <c r="A6" s="43" t="s">
        <v>821</v>
      </c>
      <c r="B6" s="43"/>
      <c r="C6" s="43"/>
      <c r="D6" s="43"/>
      <c r="E6" s="43"/>
      <c r="F6" s="43"/>
    </row>
    <row r="7" ht="20" customHeight="1" spans="1:6" x14ac:dyDescent="0.25">
      <c r="A7" s="41" t="s">
        <v>822</v>
      </c>
      <c r="B7" s="42"/>
      <c r="C7" s="42"/>
      <c r="D7" s="42"/>
      <c r="E7" s="42"/>
      <c r="F7" s="42"/>
    </row>
    <row r="8" ht="36" customHeight="1" spans="1:6" x14ac:dyDescent="0.25">
      <c r="A8" s="43" t="s">
        <v>823</v>
      </c>
      <c r="B8" s="43"/>
      <c r="C8" s="43"/>
      <c r="D8" s="43"/>
      <c r="E8" s="43"/>
      <c r="F8" s="43"/>
    </row>
    <row r="9" ht="20" customHeight="1" spans="1:6" x14ac:dyDescent="0.25">
      <c r="A9" s="41" t="s">
        <v>824</v>
      </c>
      <c r="B9" s="42"/>
      <c r="C9" s="42"/>
      <c r="D9" s="42"/>
      <c r="E9" s="42"/>
      <c r="F9" s="42"/>
    </row>
    <row r="10" ht="36" customHeight="1" spans="1:6" x14ac:dyDescent="0.25">
      <c r="A10" s="43" t="s">
        <v>825</v>
      </c>
      <c r="B10" s="43"/>
      <c r="C10" s="43"/>
      <c r="D10" s="43"/>
      <c r="E10" s="43"/>
      <c r="F10" s="43"/>
    </row>
    <row r="11" ht="20" customHeight="1" spans="1:6" x14ac:dyDescent="0.25">
      <c r="A11" s="41" t="s">
        <v>826</v>
      </c>
      <c r="B11" s="42"/>
      <c r="C11" s="42"/>
      <c r="D11" s="42"/>
      <c r="E11" s="42"/>
      <c r="F11" s="42"/>
    </row>
    <row r="12" ht="36" customHeight="1" spans="1:6" x14ac:dyDescent="0.25">
      <c r="A12" s="43" t="s">
        <v>827</v>
      </c>
      <c r="B12" s="43"/>
      <c r="C12" s="43"/>
      <c r="D12" s="43"/>
      <c r="E12" s="43"/>
      <c r="F12" s="43"/>
    </row>
    <row r="13" ht="20" customHeight="1" spans="1:6" x14ac:dyDescent="0.25">
      <c r="A13" s="41" t="s">
        <v>828</v>
      </c>
      <c r="B13" s="42"/>
      <c r="C13" s="42"/>
      <c r="D13" s="42"/>
      <c r="E13" s="42"/>
      <c r="F13" s="42"/>
    </row>
    <row r="14" ht="36" customHeight="1" spans="1:6" x14ac:dyDescent="0.25">
      <c r="A14" s="43" t="s">
        <v>829</v>
      </c>
      <c r="B14" s="43"/>
      <c r="C14" s="43"/>
      <c r="D14" s="43"/>
      <c r="E14" s="43"/>
      <c r="F14" s="43"/>
    </row>
    <row r="15" ht="20" customHeight="1" spans="1:6" x14ac:dyDescent="0.25">
      <c r="A15" s="41" t="s">
        <v>830</v>
      </c>
      <c r="B15" s="42"/>
      <c r="C15" s="42"/>
      <c r="D15" s="42"/>
      <c r="E15" s="42"/>
      <c r="F15" s="42"/>
    </row>
    <row r="16" ht="36" customHeight="1" spans="1:6" x14ac:dyDescent="0.25">
      <c r="A16" s="43" t="s">
        <v>831</v>
      </c>
      <c r="B16" s="43"/>
      <c r="C16" s="43"/>
      <c r="D16" s="43"/>
      <c r="E16" s="43"/>
      <c r="F16" s="43"/>
    </row>
    <row r="17" ht="20" customHeight="1" spans="1:6" x14ac:dyDescent="0.25">
      <c r="A17" s="41" t="s">
        <v>832</v>
      </c>
      <c r="B17" s="42"/>
      <c r="C17" s="42"/>
      <c r="D17" s="42"/>
      <c r="E17" s="42"/>
      <c r="F17" s="42"/>
    </row>
    <row r="18" ht="36" customHeight="1" spans="1:6" x14ac:dyDescent="0.25">
      <c r="A18" s="43" t="s">
        <v>833</v>
      </c>
      <c r="B18" s="43"/>
      <c r="C18" s="43"/>
      <c r="D18" s="43"/>
      <c r="E18" s="43"/>
      <c r="F18" s="43"/>
    </row>
  </sheetData>
  <mergeCells count="9">
    <mergeCell ref="A1:F1"/>
    <mergeCell ref="A4:F4"/>
    <mergeCell ref="A6:F6"/>
    <mergeCell ref="A8:F8"/>
    <mergeCell ref="A10:F10"/>
    <mergeCell ref="A12:F12"/>
    <mergeCell ref="A14:F14"/>
    <mergeCell ref="A16:F16"/>
    <mergeCell ref="A18:F1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Dashboard</vt:lpstr>
      <vt:lpstr>Kanban Board</vt:lpstr>
      <vt:lpstr>Sprint 0</vt:lpstr>
      <vt:lpstr>Day 1</vt:lpstr>
      <vt:lpstr>Day 2</vt:lpstr>
      <vt:lpstr>Day 3</vt:lpstr>
      <vt:lpstr>Day 4</vt:lpstr>
      <vt:lpstr>Day 5</vt:lpstr>
      <vt:lpstr>Day 6</vt:lpstr>
      <vt:lpstr>Day 7</vt:lpstr>
      <vt:lpstr>Backend Tasks</vt:lpstr>
      <vt:lpstr>Frontend Tasks</vt:lpstr>
      <vt:lpstr>Database Tasks</vt:lpstr>
      <vt:lpstr>AI Tasks</vt:lpstr>
      <vt:lpstr>Face Recognition Tasks</vt:lpstr>
      <vt:lpstr>Documentation &amp; QA Tasks</vt:lpstr>
      <vt:lpstr>Infrastructure Tasks</vt:lpstr>
      <vt:lpstr>Integration Tracker</vt:lpstr>
      <vt:lpstr>Bug Tracker</vt:lpstr>
      <vt:lpstr>Security Checklist</vt:lpstr>
      <vt:lpstr>Daily Standup</vt:lpstr>
      <vt:lpstr>Team Workload</vt:lpstr>
      <vt:lpstr>Dependency Tracker</vt:lpstr>
      <vt:lpstr>Deployment Checklist</vt:lpstr>
      <vt:lpstr>Risks &amp; Blockers</vt:lpstr>
      <vt:lpstr>Final Handover Checklist</vt:lpstr>
      <vt:lpstr>Daily Review Log</vt:lpstr>
      <vt:lpstr>Testing Tracker</vt:lpstr>
      <vt:lpstr>Security Review Tracker</vt:lpstr>
      <vt:lpstr>Team Usage Guide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Enterprise PMO Lead</dc:creator>
  <dc:title/>
  <dc:subject/>
  <dc:description/>
  <cp:keywords/>
  <cp:category/>
  <cp:lastModifiedBy>Enterprise PMO Lead</cp:lastModifiedBy>
  <dcterms:created xsi:type="dcterms:W3CDTF">2026-06-19T15:08:23Z</dcterms:created>
  <dcterms:modified xsi:type="dcterms:W3CDTF">2026-06-19T15:08:23Z</dcterms:modified>
</cp:coreProperties>
</file>