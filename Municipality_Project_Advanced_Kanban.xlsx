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Kanban Board" state="visible" r:id="rId5"/>
    <sheet sheetId="3" name="Sprint 0" state="visible" r:id="rId6"/>
    <sheet sheetId="4" name="Day 1" state="visible" r:id="rId7"/>
    <sheet sheetId="5" name="Day 2" state="visible" r:id="rId8"/>
    <sheet sheetId="6" name="Day 3" state="visible" r:id="rId9"/>
    <sheet sheetId="7" name="Day 4" state="visible" r:id="rId10"/>
    <sheet sheetId="8" name="Day 5" state="visible" r:id="rId11"/>
    <sheet sheetId="9" name="Day 6" state="visible" r:id="rId12"/>
    <sheet sheetId="10" name="Day 7" state="visible" r:id="rId13"/>
    <sheet sheetId="11" name="Backend Tasks" state="visible" r:id="rId14"/>
    <sheet sheetId="12" name="Frontend Tasks" state="visible" r:id="rId15"/>
    <sheet sheetId="13" name="Database Tasks" state="visible" r:id="rId16"/>
    <sheet sheetId="14" name="AI Tasks" state="visible" r:id="rId17"/>
    <sheet sheetId="15" name="Face Recognition Tasks" state="visible" r:id="rId18"/>
    <sheet sheetId="16" name="Documentation &amp; QA Tasks" state="visible" r:id="rId19"/>
    <sheet sheetId="17" name="Infrastructure Tasks" state="visible" r:id="rId20"/>
    <sheet sheetId="18" name="Integration Tracker" state="visible" r:id="rId21"/>
    <sheet sheetId="19" name="Bug Tracker" state="visible" r:id="rId22"/>
    <sheet sheetId="20" name="Security Checklist" state="visible" r:id="rId23"/>
    <sheet sheetId="21" name="Daily Standup" state="visible" r:id="rId24"/>
    <sheet sheetId="22" name="Team Workload" state="visible" r:id="rId25"/>
    <sheet sheetId="23" name="Dependency Tracker" state="visible" r:id="rId26"/>
    <sheet sheetId="24" name="Deployment Checklist" state="visible" r:id="rId27"/>
    <sheet sheetId="25" name="Risks &amp; Blockers" state="visible" r:id="rId28"/>
    <sheet sheetId="26" name="Final Handover Checklist" state="visible" r:id="rId29"/>
  </sheets>
  <calcPr calcId="171027"/>
</workbook>
</file>

<file path=xl/sharedStrings.xml><?xml version="1.0" encoding="utf-8"?>
<sst xmlns="http://schemas.openxmlformats.org/spreadsheetml/2006/main" count="1466" uniqueCount="502">
  <si>
    <t>AI-Powered Smart Municipal Citizen Assistance &amp; Staff Attendance Management System - Executive Dashboard</t>
  </si>
  <si>
    <t>Overall Completion %</t>
  </si>
  <si>
    <t>Blocked Tasks</t>
  </si>
  <si>
    <t>Critical Issues Open</t>
  </si>
  <si>
    <t>Open Bugs</t>
  </si>
  <si>
    <t>Security Checklist %</t>
  </si>
  <si>
    <t>Deployment Readiness %</t>
  </si>
  <si>
    <t>Team Workload &amp; Progress Summary</t>
  </si>
  <si>
    <t>Module Development Status</t>
  </si>
  <si>
    <t>Day-Wise Rapid Progress</t>
  </si>
  <si>
    <t>Team Member</t>
  </si>
  <si>
    <t>Assigned Tasks</t>
  </si>
  <si>
    <t>Completed</t>
  </si>
  <si>
    <t>Pending</t>
  </si>
  <si>
    <t>Blocked</t>
  </si>
  <si>
    <t>Completion %</t>
  </si>
  <si>
    <t>Module Name</t>
  </si>
  <si>
    <t>Total Tasks</t>
  </si>
  <si>
    <t>Timeline</t>
  </si>
  <si>
    <t>Total</t>
  </si>
  <si>
    <t>Progress</t>
  </si>
  <si>
    <t>Minha Palakkathodi</t>
  </si>
  <si>
    <t>Backend</t>
  </si>
  <si>
    <t>Sprint 0</t>
  </si>
  <si>
    <t>Adithyan N</t>
  </si>
  <si>
    <t>Frontend</t>
  </si>
  <si>
    <t>Day 1</t>
  </si>
  <si>
    <t>Fathima Hana</t>
  </si>
  <si>
    <t>Database</t>
  </si>
  <si>
    <t>Day 2</t>
  </si>
  <si>
    <t>Muhammad Sanish</t>
  </si>
  <si>
    <t>AI</t>
  </si>
  <si>
    <t>Day 3</t>
  </si>
  <si>
    <t>Fadi Ahmed</t>
  </si>
  <si>
    <t>Face Recognition</t>
  </si>
  <si>
    <t>Day 4</t>
  </si>
  <si>
    <t>Muhammed Sadik KT</t>
  </si>
  <si>
    <t>Documentation &amp; QA</t>
  </si>
  <si>
    <t>Day 5</t>
  </si>
  <si>
    <t>Infrastructure</t>
  </si>
  <si>
    <t>Day 6</t>
  </si>
  <si>
    <t>Task ID</t>
  </si>
  <si>
    <t>Module</t>
  </si>
  <si>
    <t>Task Name</t>
  </si>
  <si>
    <t>Assigned To</t>
  </si>
  <si>
    <t>Priority</t>
  </si>
  <si>
    <t>Status</t>
  </si>
  <si>
    <t>Progress %</t>
  </si>
  <si>
    <t>Due Day</t>
  </si>
  <si>
    <t>Dependency</t>
  </si>
  <si>
    <t>Testing Status</t>
  </si>
  <si>
    <t>Security Review</t>
  </si>
  <si>
    <t>Remarks</t>
  </si>
  <si>
    <t>Day 7</t>
  </si>
  <si>
    <t>TASK-S0-001</t>
  </si>
  <si>
    <t>Setup Local Git Repos and Branches</t>
  </si>
  <si>
    <t>High</t>
  </si>
  <si>
    <t>Not Started</t>
  </si>
  <si>
    <t>None</t>
  </si>
  <si>
    <t>main and develop branches setup</t>
  </si>
  <si>
    <t>TASK-S0-002</t>
  </si>
  <si>
    <t>Initialize Node.js Server Environment</t>
  </si>
  <si>
    <t>npm environment verify</t>
  </si>
  <si>
    <t>TASK-S0-003</t>
  </si>
  <si>
    <t>Configure ESLint and Prettier Rules</t>
  </si>
  <si>
    <t>Medium</t>
  </si>
  <si>
    <t>Static analysis gating</t>
  </si>
  <si>
    <t>TASK-S0-004</t>
  </si>
  <si>
    <t>Deploy Security Variable Templates</t>
  </si>
  <si>
    <t>Critical</t>
  </si>
  <si>
    <t>Secret gating verification</t>
  </si>
  <si>
    <t>TASK-S0-005</t>
  </si>
  <si>
    <t>MongoDB Atlas Cluster Instance Setup</t>
  </si>
  <si>
    <t>Configure initial admin users</t>
  </si>
  <si>
    <t>TASK-INF-001</t>
  </si>
  <si>
    <t>MongoDB Atlas Setup</t>
  </si>
  <si>
    <t>Enforce IP access control rules</t>
  </si>
  <si>
    <t>TASK-INF-002</t>
  </si>
  <si>
    <t>Environment Configuration</t>
  </si>
  <si>
    <t>No plaintext credentials committed to git</t>
  </si>
  <si>
    <t>TASK-INF-003</t>
  </si>
  <si>
    <t>Logging Infrastructure Setup</t>
  </si>
  <si>
    <t>Enforce data redaction middleware on logs</t>
  </si>
  <si>
    <t>TASK-INF-004</t>
  </si>
  <si>
    <t>Deployment Environment Preparation</t>
  </si>
  <si>
    <t>Secure CORS origins and HTTPS redirections</t>
  </si>
  <si>
    <t>TASK-FE-INF-001</t>
  </si>
  <si>
    <t>Global Layout &amp; Theme Setup</t>
  </si>
  <si>
    <t>Sanitize rendering outputs</t>
  </si>
  <si>
    <t>TASK-FE-INF-002</t>
  </si>
  <si>
    <t>Sidebar &amp; Navbar Navigation</t>
  </si>
  <si>
    <t>Hide restricted modules from unauthenticated menus</t>
  </si>
  <si>
    <t>TASK-FE-INF-003</t>
  </si>
  <si>
    <t>Protected Routes Gating</t>
  </si>
  <si>
    <t>Client-side path redirection to block unauthorized screen accesses</t>
  </si>
  <si>
    <t>TASK-FE-INF-004</t>
  </si>
  <si>
    <t>Axios Client &amp; API Interceptors</t>
  </si>
  <si>
    <t>Secure storage references, inject CSRF verification headers</t>
  </si>
  <si>
    <t>TASK-FE-INF-005</t>
  </si>
  <si>
    <t>Loading Components &amp; Error Boundaries</t>
  </si>
  <si>
    <t>Low</t>
  </si>
  <si>
    <t>Prevent exposure of stack diagnostics on error screens</t>
  </si>
  <si>
    <t>TASK-FE-INF-006</t>
  </si>
  <si>
    <t>Toast Notifications &amp; Reusable UI Components</t>
  </si>
  <si>
    <t>Prevent HTML injection on notification messages</t>
  </si>
  <si>
    <t>TASK-BE-001</t>
  </si>
  <si>
    <t>Setup Express server</t>
  </si>
  <si>
    <t>Implement helmet headers, CORS allowlist, and rate limit protections</t>
  </si>
  <si>
    <t>TASK-DB-001</t>
  </si>
  <si>
    <t>Initialize Core Schemas</t>
  </si>
  <si>
    <t>Mongoose validation rules, sparse and unique constraints on user IDs</t>
  </si>
  <si>
    <t>TASK-BE-002</t>
  </si>
  <si>
    <t>Implement JWT &amp; Session Authentication</t>
  </si>
  <si>
    <t>TASK-DB-001, TASK-BE-001</t>
  </si>
  <si>
    <t>Bcrypt password hashing (workload factor 10+), session checks</t>
  </si>
  <si>
    <t>TASK-BE-003</t>
  </si>
  <si>
    <t>Implement RBAC &amp; Authorization Middlewares</t>
  </si>
  <si>
    <t>Backend API verification gates</t>
  </si>
  <si>
    <t>TASK-FE-001</t>
  </si>
  <si>
    <t>Build Authentication UI Forms</t>
  </si>
  <si>
    <t>Input sanitization, password strength meters</t>
  </si>
  <si>
    <t>TASK-QA-001</t>
  </si>
  <si>
    <t>Formulate Requirements Traceability Matrix</t>
  </si>
  <si>
    <t>Review authentication workflow consistency</t>
  </si>
  <si>
    <t>TASK-UI-001</t>
  </si>
  <si>
    <t>Design Portal Layout Shells review</t>
  </si>
  <si>
    <t>Ensure clear role segregation on rendering views</t>
  </si>
  <si>
    <t>TASK-DB-002</t>
  </si>
  <si>
    <t>Initialize Complaints &amp; Files Schema</t>
  </si>
  <si>
    <t>Geospatial indices, file metadata validations</t>
  </si>
  <si>
    <t>TASK-BE-004</t>
  </si>
  <si>
    <t>Develop Complaint API Controllers</t>
  </si>
  <si>
    <t>TASK-DB-002, TASK-BE-003</t>
  </si>
  <si>
    <t>Restrict writes to backend services, audit-log modifications</t>
  </si>
  <si>
    <t>TASK-FE-003</t>
  </si>
  <si>
    <t>Build Citizen Dashboard &amp; Complaint Intake UI</t>
  </si>
  <si>
    <t>TASK-FE-001, TASK-FE-INF-004</t>
  </si>
  <si>
    <t>Limit client upload selectors to PDF and images</t>
  </si>
  <si>
    <t>TASK-QA-002</t>
  </si>
  <si>
    <t>QA Test Plan for Grievance Handling</t>
  </si>
  <si>
    <t>Verify attachment visibility bounds</t>
  </si>
  <si>
    <t>TASK-DB-003</t>
  </si>
  <si>
    <t>Initialize File Tracking Schemas</t>
  </si>
  <si>
    <t>Configure public visibility checks</t>
  </si>
  <si>
    <t>TASK-BE-005</t>
  </si>
  <si>
    <t>Implement File Tracking &amp; Announcements APIs</t>
  </si>
  <si>
    <t>TASK-DB-003, TASK-BE-003</t>
  </si>
  <si>
    <t>Hiding of internal notes (internal_note) on public trackers</t>
  </si>
  <si>
    <t>TASK-FE-004</t>
  </si>
  <si>
    <t>Build Public File Tracking Timeline UI</t>
  </si>
  <si>
    <t>Escaping query inputs</t>
  </si>
  <si>
    <t>TASK-UI-002</t>
  </si>
  <si>
    <t>Validate Citizen Forms Responsive Layouts</t>
  </si>
  <si>
    <t>Verify view rendering across mobile viewports</t>
  </si>
  <si>
    <t>TASK-DB-004</t>
  </si>
  <si>
    <t>Initialize Biometrics &amp; AI Schemas</t>
  </si>
  <si>
    <t>Reference keys encryption configurations, time-series metrics logging</t>
  </si>
  <si>
    <t>TASK-AI-001</t>
  </si>
  <si>
    <t>Python Biometric Face Verification Service</t>
  </si>
  <si>
    <t>Template protection, volatile RAM comparison configurations</t>
  </si>
  <si>
    <t>TASK-AI-002</t>
  </si>
  <si>
    <t>AI RAG Chatbot Integration</t>
  </si>
  <si>
    <t>Guardrails enforcement, user prompt sanitizations</t>
  </si>
  <si>
    <t>TASK-BE-006</t>
  </si>
  <si>
    <t>Implement Biometric Consent &amp; Verification APIs</t>
  </si>
  <si>
    <t>TASK-DB-004, TASK-BE-003, TASK-AI-001</t>
  </si>
  <si>
    <t>Active consent checks before enrollment</t>
  </si>
  <si>
    <t>TASK-FE-005</t>
  </si>
  <si>
    <t>Build Staff Attendance Scanner &amp; Kanban Dashboard</t>
  </si>
  <si>
    <t>TASK-FE-003, TASK-FE-INF-004</t>
  </si>
  <si>
    <t>Webcam permissions checker</t>
  </si>
  <si>
    <t>TASK-FR-001</t>
  </si>
  <si>
    <t>Dataset Collection</t>
  </si>
  <si>
    <t>Zero storage of raw images in public repos; restricted access only</t>
  </si>
  <si>
    <t>TASK-FR-002</t>
  </si>
  <si>
    <t>Prototype Refinement</t>
  </si>
  <si>
    <t>Protection against offline model extraction</t>
  </si>
  <si>
    <t>TASK-FR-003</t>
  </si>
  <si>
    <t>Camera Integration Testing</t>
  </si>
  <si>
    <t>TASK-UI-003</t>
  </si>
  <si>
    <t>Webcam parameters verification, checking zero buffer persistences</t>
  </si>
  <si>
    <t>TASK-AI-003</t>
  </si>
  <si>
    <t>OCR Attachment Parser</t>
  </si>
  <si>
    <t>Limit access privileges on OCR parsing text files</t>
  </si>
  <si>
    <t>TASK-BE-007</t>
  </si>
  <si>
    <t>Implement Chatbot and Handoff Queue APIs</t>
  </si>
  <si>
    <t>TASK-DB-004, TASK-BE-003, TASK-AI-002</t>
  </si>
  <si>
    <t>Chat log PII redactions</t>
  </si>
  <si>
    <t>TASK-FE-006</t>
  </si>
  <si>
    <t>Build Admin settings &amp; AI review board UI</t>
  </si>
  <si>
    <t>Admin permission check middleware guards</t>
  </si>
  <si>
    <t>TASK-QA-003</t>
  </si>
  <si>
    <t>Biometric Verification Performance tests</t>
  </si>
  <si>
    <t>Biometric accuracy audits</t>
  </si>
  <si>
    <t>Build Scanner Webcam permission UI components</t>
  </si>
  <si>
    <t>Handle camera lockouts or permissions denials safely</t>
  </si>
  <si>
    <t>TASK-FR-004</t>
  </si>
  <si>
    <t>Attendance Workflow Testing</t>
  </si>
  <si>
    <t>TASK-BE-006, TASK-FR-003</t>
  </si>
  <si>
    <t>Confirm active consent checks block unconsented camera captures</t>
  </si>
  <si>
    <t>TASK-FR-005</t>
  </si>
  <si>
    <t>Recognition Accuracy Testing</t>
  </si>
  <si>
    <t>Mitigate spoofing risk from static print templates</t>
  </si>
  <si>
    <t>TASK-BE-008</t>
  </si>
  <si>
    <t>Integrate anti-NoSQL middleware</t>
  </si>
  <si>
    <t>Strip special operators ($, .) from request parameters</t>
  </si>
  <si>
    <t>TASK-BE-009</t>
  </si>
  <si>
    <t>Integrate Anti-CSRF and CAPTCHA validation middlewares</t>
  </si>
  <si>
    <t>Enforce Same-Site cookie tags, validate CAPTCHA payloads</t>
  </si>
  <si>
    <t>TASK-AI-004</t>
  </si>
  <si>
    <t>AI Model threshold configuration</t>
  </si>
  <si>
    <t>Minimize false matches</t>
  </si>
  <si>
    <t>TASK-FE-007</t>
  </si>
  <si>
    <t>Frontend Gating &amp; Memory Release</t>
  </si>
  <si>
    <t>Release webcam streams on unmounts, anti-CSRF request header bindings</t>
  </si>
  <si>
    <t>TASK-QA-004</t>
  </si>
  <si>
    <t>Role Boundary Pen-Testing audits</t>
  </si>
  <si>
    <t>Validate API RBAC gates</t>
  </si>
  <si>
    <t>TASK-UI-004</t>
  </si>
  <si>
    <t>Run Cross-Browser Layout Verification</t>
  </si>
  <si>
    <t>Verify layouts render correctly in Firefox, Safari, and Chrome</t>
  </si>
  <si>
    <t>TASK-FR-006</t>
  </si>
  <si>
    <t>Cross-Browser Camera Testing</t>
  </si>
  <si>
    <t>Camera permissions sandbox restrictions validation</t>
  </si>
  <si>
    <t>TASK-FR-007</t>
  </si>
  <si>
    <t>System Integration Testing</t>
  </si>
  <si>
    <t>TASK-FR-004, TASK-FE-005</t>
  </si>
  <si>
    <t>Confirm RBAC blocks staff from viewing other staff biometric logs</t>
  </si>
  <si>
    <t>TASK-DB-005</t>
  </si>
  <si>
    <t>Immutable Backup configurations</t>
  </si>
  <si>
    <t>Tamper-proof backup configurations</t>
  </si>
  <si>
    <t>TASK-QA-005</t>
  </si>
  <si>
    <t>Final Handover Documentation preparation</t>
  </si>
  <si>
    <t>Include deployment and operation guides</t>
  </si>
  <si>
    <t>TASK-INF-005</t>
  </si>
  <si>
    <t>Final Production Deployment Verification</t>
  </si>
  <si>
    <t>Verify secure SSL certificates and variables</t>
  </si>
  <si>
    <t>Dynamic Project Kanban Board (Synced with Master Task List)</t>
  </si>
  <si>
    <t>Filter Assignee:</t>
  </si>
  <si>
    <t>Filter Module:</t>
  </si>
  <si>
    <t>Filter Day:</t>
  </si>
  <si>
    <t>BACKLOG (Not Started)</t>
  </si>
  <si>
    <t>IN PROGRESS</t>
  </si>
  <si>
    <t>NEEDS REVIEW</t>
  </si>
  <si>
    <t>COMPLETED</t>
  </si>
  <si>
    <t>Gantt Timeline Plan - Sprint 0 Schedule &amp; Tasks</t>
  </si>
  <si>
    <t>Deliverable</t>
  </si>
  <si>
    <t>Testing Required</t>
  </si>
  <si>
    <t>Security Check Required</t>
  </si>
  <si>
    <t>Standardized repository branching structure</t>
  </si>
  <si>
    <t>No</t>
  </si>
  <si>
    <t>Verified local Node.js engine and package files</t>
  </si>
  <si>
    <t>Yes</t>
  </si>
  <si>
    <t>Shared linting config files (.eslintrc, .prettierrc)</t>
  </si>
  <si>
    <t>Secure .env.example environment blueprint</t>
  </si>
  <si>
    <t>Live Atlas sandbox instance cluster</t>
  </si>
  <si>
    <t>Gantt Timeline Plan - Day 1 Schedule &amp; Tasks</t>
  </si>
  <si>
    <t>Live MongoDB Atlas instance</t>
  </si>
  <si>
    <t>Environment variable templates (.env.example)</t>
  </si>
  <si>
    <t>Winston/Morgan logger scripts</t>
  </si>
  <si>
    <t>Production deployment configuration on Render/Vercel/Netlify</t>
  </si>
  <si>
    <t>Main React layout wrappers with Tailwind grid</t>
  </si>
  <si>
    <t>Dashboard headers and sidebar menus</t>
  </si>
  <si>
    <t>Route guard wrappers checking active user tokens</t>
  </si>
  <si>
    <t>Configured Axios instance with auto-injected authorization header</t>
  </si>
  <si>
    <t>Loading screens and boundary classes catching React runtime exceptions</t>
  </si>
  <si>
    <t>Alert toasts, buttons, form grids, and select dropdown elements</t>
  </si>
  <si>
    <t>Scaffolded Node/Express server with helmet/CORS</t>
  </si>
  <si>
    <t>Frozen schema definitions for users, roles, permissions, departments</t>
  </si>
  <si>
    <t>Routes and controllers for user register, login, and logout</t>
  </si>
  <si>
    <t>Middleware classes verifying roles, permission sets, and ownership</t>
  </si>
  <si>
    <t>Responsive signup, login, and reset request grids</t>
  </si>
  <si>
    <t>Complete matrix linking requirements to database schemas and APIs</t>
  </si>
  <si>
    <t>Responsive layout consistency review for core screen elements</t>
  </si>
  <si>
    <t>Gantt Timeline Plan - Day 2 Schedule &amp; Tasks</t>
  </si>
  <si>
    <t>Schemas for complaints and files</t>
  </si>
  <si>
    <t>API controllers for ticket creations, assignments, and updates</t>
  </si>
  <si>
    <t>Grid dashboard displaying complaints, intake forms, and attachments</t>
  </si>
  <si>
    <t>Validation scripts for citizen workflows</t>
  </si>
  <si>
    <t>Gantt Timeline Plan - Day 3 Schedule &amp; Tasks</t>
  </si>
  <si>
    <t>Schemas for file_tracking and file_tracking_history</t>
  </si>
  <si>
    <t>Status lookup endpoints by File ID</t>
  </si>
  <si>
    <t>Search layouts displaying file processing statuses</t>
  </si>
  <si>
    <t>Design consistency review log</t>
  </si>
  <si>
    <t>Gantt Timeline Plan - Day 4 Schedule &amp; Tasks</t>
  </si>
  <si>
    <t>Schemas for biometric consents, templates, review queues, and AI logs</t>
  </si>
  <si>
    <t>Python script calculating embedding similarity and depth liveness scores</t>
  </si>
  <si>
    <t>Chat orchestrator calling Gemini grounded in vector chunk datasets</t>
  </si>
  <si>
    <t>Consent registers and face check-in punch adapters</t>
  </si>
  <si>
    <t>Staff portal display containing work cards and webcam scans layout</t>
  </si>
  <si>
    <t>Standardized library of staff face profile datasets for calibration</t>
  </si>
  <si>
    <t>Optimized comparison model utilizing optimized landmarks matrices</t>
  </si>
  <si>
    <t>Gated webcam framework integration report</t>
  </si>
  <si>
    <t>Gantt Timeline Plan - Day 5 Schedule &amp; Tasks</t>
  </si>
  <si>
    <t>File metadata scanning module</t>
  </si>
  <si>
    <t>Conversational routes and manual review queue assigners</t>
  </si>
  <si>
    <t>Role managers, queue dashboards, and parameter settings panel</t>
  </si>
  <si>
    <t>QA test documentation logging precision rates</t>
  </si>
  <si>
    <t>Camera access prompt modules with visual fallback settings</t>
  </si>
  <si>
    <t>Verification test log tracing biometric punch inputs to model outcomes</t>
  </si>
  <si>
    <t>Metrics summary documenting False Acceptance Rate (FAR) and False Rejection Rate (FRR)</t>
  </si>
  <si>
    <t>Gantt Timeline Plan - Day 6 Schedule &amp; Tasks</t>
  </si>
  <si>
    <t>Input sanitizers blocking operator injections</t>
  </si>
  <si>
    <t>Anti-CSRF token checkers and Turnstile verification APIs</t>
  </si>
  <si>
    <t>Similarity parameters configurations</t>
  </si>
  <si>
    <t>Hardened frontend modules</t>
  </si>
  <si>
    <t>Verification logs checks</t>
  </si>
  <si>
    <t>Browser compatibility report</t>
  </si>
  <si>
    <t>Browser compatibility log for camera access</t>
  </si>
  <si>
    <t>End-to-end integration validation report</t>
  </si>
  <si>
    <t>Gantt Timeline Plan - Day 7 Schedule &amp; Tasks</t>
  </si>
  <si>
    <t>S3 Object Lock configuration scripts</t>
  </si>
  <si>
    <t>Complete handover documentation manual</t>
  </si>
  <si>
    <t>Live production URL validation checks</t>
  </si>
  <si>
    <t>Backend Tasks (Module Lead: Muhammad Sanish)</t>
  </si>
  <si>
    <t>Frontend Tasks (Module Lead: Adithyan N)</t>
  </si>
  <si>
    <t>Database Tasks (Module Lead: Fathima Hana)</t>
  </si>
  <si>
    <t>AI Tasks (Module Lead: Muhammed Sadik KT)</t>
  </si>
  <si>
    <t>Face Recognition Tasks (Module Lead: Fadi Ahmed)</t>
  </si>
  <si>
    <t>Documentation &amp; QA Tasks (Module Lead: Minha Palakkathodi)</t>
  </si>
  <si>
    <t>Infrastructure Tasks (Module Lead: Adithyan N + Muhammad Sanish)</t>
  </si>
  <si>
    <t>Cross-Module Integration Point Registry</t>
  </si>
  <si>
    <t>Interface ID</t>
  </si>
  <si>
    <t>Source Module</t>
  </si>
  <si>
    <t>Target Module</t>
  </si>
  <si>
    <t>Interface Endpoint/Details</t>
  </si>
  <si>
    <t>Primary Owner</t>
  </si>
  <si>
    <t>Testing Required?</t>
  </si>
  <si>
    <t>INT-001</t>
  </si>
  <si>
    <t>Auth Token Injection (JWT headers in Axios)</t>
  </si>
  <si>
    <t>INT-002</t>
  </si>
  <si>
    <t>Citizen Portal Complaint Registration Form submission</t>
  </si>
  <si>
    <t>INT-003</t>
  </si>
  <si>
    <t>File Lookup Timeline API response rendering</t>
  </si>
  <si>
    <t>INT-004</t>
  </si>
  <si>
    <t>Webcam Canvas Face verification punch validation</t>
  </si>
  <si>
    <t>INT-005</t>
  </si>
  <si>
    <t>Complaint assignment queries &amp; Mongoose updates</t>
  </si>
  <si>
    <t>INT-006</t>
  </si>
  <si>
    <t>AI-Service</t>
  </si>
  <si>
    <t>Volatile frame relay to Python face liveness API</t>
  </si>
  <si>
    <t>INT-007</t>
  </si>
  <si>
    <t>Gemini RAG context parsing &amp; chatbot sessions route</t>
  </si>
  <si>
    <t>INT-008</t>
  </si>
  <si>
    <t>OCR Citizen upload attachments text parser API</t>
  </si>
  <si>
    <t>Defect Prevention and QA Bug Tracker</t>
  </si>
  <si>
    <t>Bug ID</t>
  </si>
  <si>
    <t>Reported By</t>
  </si>
  <si>
    <t>Severity</t>
  </si>
  <si>
    <t>Environment</t>
  </si>
  <si>
    <t>Description</t>
  </si>
  <si>
    <t>Steps to Reproduce</t>
  </si>
  <si>
    <t>Fix Version</t>
  </si>
  <si>
    <t>Verified By</t>
  </si>
  <si>
    <t>BUG-001</t>
  </si>
  <si>
    <t>New</t>
  </si>
  <si>
    <t>Staging</t>
  </si>
  <si>
    <t>Webcam permission denial crashes React UI component</t>
  </si>
  <si>
    <t>1. Go to punches page; 2. Deny camera access; 3. App crashes</t>
  </si>
  <si>
    <t>v0.5.0-alpha</t>
  </si>
  <si>
    <t>Needs fallback manual input UI</t>
  </si>
  <si>
    <t>Mandatory MVP Security Validation Gates</t>
  </si>
  <si>
    <t>Control</t>
  </si>
  <si>
    <t>Owner</t>
  </si>
  <si>
    <t>Review Date</t>
  </si>
  <si>
    <t>Password Hashing</t>
  </si>
  <si>
    <t/>
  </si>
  <si>
    <t>Bcrypt hashing with work factor of 10 or higher</t>
  </si>
  <si>
    <t>JWT Security</t>
  </si>
  <si>
    <t>Access tokens 15 min expiry, secure store, revoked sessions check</t>
  </si>
  <si>
    <t>RBAC</t>
  </si>
  <si>
    <t>Backend route middlewares validating permissions sets and roles sets</t>
  </si>
  <si>
    <t>Input Validation</t>
  </si>
  <si>
    <t>Sanitize incoming payloads against XSS and injection</t>
  </si>
  <si>
    <t>Audit Logging</t>
  </si>
  <si>
    <t>Log security actions (logins, updates) in audit_logs collection</t>
  </si>
  <si>
    <t>Rate Limiting</t>
  </si>
  <si>
    <t>Configure rate limits on auth and AI endpoints to block DDoS</t>
  </si>
  <si>
    <t>File Upload Validation</t>
  </si>
  <si>
    <t>Verify attachments MIME types (PDF, PNG, JPG) &amp; max size 5MB</t>
  </si>
  <si>
    <t>Backup Verification</t>
  </si>
  <si>
    <t>Run restore test mock environments verifying backups schema integrity</t>
  </si>
  <si>
    <t>HTTPS Enforcement</t>
  </si>
  <si>
    <t>Strict Transport Security (HSTS) headers redirection rules</t>
  </si>
  <si>
    <t>No Hardcoded Secrets</t>
  </si>
  <si>
    <t>Secrets template bindings retrieve values strictly from process.env</t>
  </si>
  <si>
    <t>CSRF Protection</t>
  </si>
  <si>
    <t>Cookie transport Same-Site tags and csrf verification token interceptor</t>
  </si>
  <si>
    <t>Secure Cookies</t>
  </si>
  <si>
    <t>Enforce Secure, HTTPOnly, and SameSite=Strict cookies</t>
  </si>
  <si>
    <t>Token Expiry</t>
  </si>
  <si>
    <t>JWT tokens configured with short lifetime (max 15 mins)</t>
  </si>
  <si>
    <t>Environment Variable Verification</t>
  </si>
  <si>
    <t>Deploy validated template schema verification scripts</t>
  </si>
  <si>
    <t>PII Protection</t>
  </si>
  <si>
    <t>Encrypt Aadhaar keys and restrict user profile data viewing</t>
  </si>
  <si>
    <t>Face Image Cleanup</t>
  </si>
  <si>
    <t>Volatile RAM comparison scripts, zero storage of raw web feed images</t>
  </si>
  <si>
    <t>OCR Validation</t>
  </si>
  <si>
    <t>Clean attachment parsing directories and scan input boundaries</t>
  </si>
  <si>
    <t>Prompt Injection Protection</t>
  </si>
  <si>
    <t>Apply strict RAG system-level prompt guidelines</t>
  </si>
  <si>
    <t>Daily Scrum standup Tracker (15 mins Review logs)</t>
  </si>
  <si>
    <t>Date</t>
  </si>
  <si>
    <t>Member</t>
  </si>
  <si>
    <t>Yesterday Accomplishments</t>
  </si>
  <si>
    <t>Today Plan</t>
  </si>
  <si>
    <t>Blockers/Dependencies</t>
  </si>
  <si>
    <t>Need Help? (Yes/No)</t>
  </si>
  <si>
    <t>19-06-2026</t>
  </si>
  <si>
    <t>Resource Allocation and Productivity Tracker</t>
  </si>
  <si>
    <t>Completed Tasks</t>
  </si>
  <si>
    <t>Pending Tasks</t>
  </si>
  <si>
    <t>Critical Path Dependency Registry</t>
  </si>
  <si>
    <t>Depends On</t>
  </si>
  <si>
    <t>Dependency Status</t>
  </si>
  <si>
    <t>Risk Level</t>
  </si>
  <si>
    <t>Logging infrastructure requires dotenv file configuration parameters</t>
  </si>
  <si>
    <t>Express application requires database variables template setup</t>
  </si>
  <si>
    <t>Authentication route requires core database user schemas definitions</t>
  </si>
  <si>
    <t>Role verification gate requires auth router initialization validation</t>
  </si>
  <si>
    <t>Protected routes client guard requires layout grid wrapper</t>
  </si>
  <si>
    <t>Authentication UI forms require route redirection controls gating</t>
  </si>
  <si>
    <t>Complaint API controllers require grievance Mongoose model schemas</t>
  </si>
  <si>
    <t>Face recognition punch API requires python verification logic</t>
  </si>
  <si>
    <t>Webcam integration test requires backend face punch controllers</t>
  </si>
  <si>
    <t>MVP Production Launch Readiness Gates</t>
  </si>
  <si>
    <t>Control / Checkpoint</t>
  </si>
  <si>
    <t>Environment Variables validation checks</t>
  </si>
  <si>
    <t>Verify all secret variables match production settings</t>
  </si>
  <si>
    <t>MongoDB Atlas live cluster connection</t>
  </si>
  <si>
    <t>Verify whitelist access permissions configuration rules</t>
  </si>
  <si>
    <t>Frontend Web portal production build</t>
  </si>
  <si>
    <t>Verify bundle assets compile cleanly without errors</t>
  </si>
  <si>
    <t>Backend server REST API deployment build</t>
  </si>
  <si>
    <t>Verify environment script variables boot server</t>
  </si>
  <si>
    <t>Static code analysis security review gate</t>
  </si>
  <si>
    <t>Verify dependencies check reports clean logs</t>
  </si>
  <si>
    <t>Master deliverables documentation review</t>
  </si>
  <si>
    <t>Verify SRS checklists matches finished builds</t>
  </si>
  <si>
    <t>End-to-end continuous workflows testing</t>
  </si>
  <si>
    <t>Verify authentication and forms registration outputs</t>
  </si>
  <si>
    <t>Database backup automation validation</t>
  </si>
  <si>
    <t>Verify snapshots scripts execute successfully</t>
  </si>
  <si>
    <t>HTTPS security encryption verification</t>
  </si>
  <si>
    <t>Verify security certificates redirection headers</t>
  </si>
  <si>
    <t>Production environment secret credentials encryption</t>
  </si>
  <si>
    <t>Rotate deployment keys in Render cloud dashboard</t>
  </si>
  <si>
    <t>Live web service operations validation check</t>
  </si>
  <si>
    <t>Run GET health endpoints checks post deployment</t>
  </si>
  <si>
    <t>System integration verification dry-runs</t>
  </si>
  <si>
    <t>Execute live walkthrough sessions checks</t>
  </si>
  <si>
    <t>Municipality Handover Package preparation</t>
  </si>
  <si>
    <t>Compile final release code archive zip and docs</t>
  </si>
  <si>
    <t>Project Risk Mitigation Register</t>
  </si>
  <si>
    <t>Risk ID</t>
  </si>
  <si>
    <t>Mitigation Strategy</t>
  </si>
  <si>
    <t>RSK-01</t>
  </si>
  <si>
    <t>API Development delay impacts UI integration testing</t>
  </si>
  <si>
    <t>Develop static mock controller adapters on Day 1 for parallel team execution</t>
  </si>
  <si>
    <t>Open</t>
  </si>
  <si>
    <t>RSK-02</t>
  </si>
  <si>
    <t>Database schema modeling adjustments delay endpoint coding</t>
  </si>
  <si>
    <t>Freeze core 14 collections on Day 1; allow only modular expansion extensions</t>
  </si>
  <si>
    <t>RSK-03</t>
  </si>
  <si>
    <t>System integration points failures on Day 6 integration freeze</t>
  </si>
  <si>
    <t>Conduct daily 15 mins evening syncs checking interface points connectivity</t>
  </si>
  <si>
    <t>RSK-04</t>
  </si>
  <si>
    <t>Python face recognition liveness fails under mock test environment</t>
  </si>
  <si>
    <t>Configure backup authentication fallback protocols using secure PIN manual codes</t>
  </si>
  <si>
    <t>RSK-05</t>
  </si>
  <si>
    <t>Google Gemini AI quota rate limits exceeded during chatbot testing</t>
  </si>
  <si>
    <t>Configure local cache models and apply rate limit middlewares throttlers</t>
  </si>
  <si>
    <t>RSK-06</t>
  </si>
  <si>
    <t>Frontend page routing system logic conflicts delay auth forms</t>
  </si>
  <si>
    <t>Enforce absolute Frontend Priority Rule Day 1 establishing layout guards</t>
  </si>
  <si>
    <t>RSK-07</t>
  </si>
  <si>
    <t>Staging environment hosting services deployments variables issues</t>
  </si>
  <si>
    <t>Establish validated boilerplate docker templates scripts on Day 1 early</t>
  </si>
  <si>
    <t>Official Municipality Handover Packages Delivery checklist</t>
  </si>
  <si>
    <t>Deliverable Package</t>
  </si>
  <si>
    <t>Signoff Date / Status</t>
  </si>
  <si>
    <t>Clean Source Code repository export archive zip</t>
  </si>
  <si>
    <t>Free of secrets, logs, and development environment variables configs</t>
  </si>
  <si>
    <t>Master Architecture design documentation portfolio</t>
  </si>
  <si>
    <t>Complete schemas design, threat models, and interface maps</t>
  </si>
  <si>
    <t>Production Environment variables templates blueprints</t>
  </si>
  <si>
    <t>Secured templates and cloud provider variables keys instructions</t>
  </si>
  <si>
    <t>Database backup restoration verification dumps files</t>
  </si>
  <si>
    <t>Seed data structures verifying schemas deployment</t>
  </si>
  <si>
    <t>Operations Deployment Manual guide documentation</t>
  </si>
  <si>
    <t>Step-by-step instructions installing systems in production clusters</t>
  </si>
  <si>
    <t>REST API endpoints documentation specifications</t>
  </si>
  <si>
    <t>Interactivity parameters verification schemas</t>
  </si>
  <si>
    <t>System Requirements Specification validations check sheets</t>
  </si>
  <si>
    <t>Requirements traceability matrix verified records</t>
  </si>
  <si>
    <t>Administrator credentials secure physical handover packages</t>
  </si>
  <si>
    <t>Transfer administrative controls using offline channels only</t>
  </si>
  <si>
    <t>Municipality staff and administrator training sessions</t>
  </si>
  <si>
    <t>System review workflows walk-through presentations logs</t>
  </si>
  <si>
    <t>Formal Municipality Acceptance Sign-off document</t>
  </si>
  <si>
    <t>Administrative sign-off verifying project delivery acceptance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</si>
</sst>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FFFFFF"/>
      <sz val="15"/>
      <name val="Segoe UI"/>
    </font>
    <font>
      <b/>
      <color rgb="FF595959"/>
      <sz val="9"/>
      <name val="Segoe UI"/>
    </font>
    <font>
      <b/>
      <color rgb="FF1F4E78"/>
      <sz val="16"/>
      <name val="Segoe UI"/>
    </font>
    <font>
      <b/>
      <color rgb="FFFFFFFF"/>
      <sz val="10"/>
      <name val="Segoe UI"/>
    </font>
    <font>
      <b/>
      <sz val="9"/>
      <name val="Segoe UI"/>
    </font>
    <font>
      <sz val="10"/>
      <name val="Segoe UI"/>
    </font>
    <font>
      <b/>
      <color rgb="FFFFFFFF"/>
      <sz val="11"/>
      <name val="Segoe UI"/>
    </font>
    <font>
      <b/>
      <color rgb="FFFFFFFF"/>
      <sz val="14"/>
      <name val="Segoe UI"/>
    </font>
    <font>
      <b/>
      <name val="Segoe UI"/>
    </font>
    <font>
      <b/>
      <color rgb="FFFFFFFF"/>
      <name val="Segoe UI"/>
    </font>
    <font>
      <sz val="9"/>
      <name val="Segoe UI"/>
    </font>
    <font>
      <b/>
      <color rgb="FFFFFFFF"/>
      <sz val="12"/>
      <name val="Segoe UI"/>
    </font>
  </fonts>
  <fills count="10">
    <fill>
      <patternFill patternType="none"/>
    </fill>
    <fill>
      <patternFill patternType="gray125"/>
    </fill>
    <fill>
      <patternFill patternType="solid">
        <fgColor rgb="FF2C5E8A"/>
      </patternFill>
    </fill>
    <fill>
      <patternFill patternType="solid">
        <fgColor rgb="FFF2F2F2"/>
      </patternFill>
    </fill>
    <fill>
      <patternFill patternType="solid">
        <fgColor rgb="FFEBF2F7"/>
      </patternFill>
    </fill>
    <fill>
      <patternFill patternType="solid">
        <fgColor rgb="FF1F4E78"/>
      </patternFill>
    </fill>
    <fill>
      <patternFill patternType="solid">
        <fgColor rgb="FFF9FBFD"/>
      </patternFill>
    </fill>
    <fill>
      <patternFill patternType="solid">
        <fgColor rgb="FF595959"/>
      </patternFill>
    </fill>
    <fill>
      <patternFill patternType="solid">
        <fgColor rgb="FFC65911"/>
      </patternFill>
    </fill>
    <fill>
      <patternFill patternType="solid">
        <fgColor rgb="FF375623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1F4E78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rgb="FF2C5E8A"/>
      </bottom>
      <diagonal/>
    </border>
    <border>
      <left/>
      <right/>
      <top/>
      <bottom style="thin">
        <color rgb="FFD3D3D3"/>
      </bottom>
      <diagonal/>
    </border>
    <border>
      <left style="medium">
        <color rgb="FF595959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rgb="FF595959"/>
      </right>
      <top style="thin">
        <color rgb="FFD3D3D3"/>
      </top>
      <bottom style="thin">
        <color rgb="FFD3D3D3"/>
      </bottom>
      <diagonal/>
    </border>
    <border>
      <left style="medium">
        <color rgb="FF1F4E78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rgb="FF1F4E78"/>
      </right>
      <top style="thin">
        <color rgb="FFD3D3D3"/>
      </top>
      <bottom style="thin">
        <color rgb="FFD3D3D3"/>
      </bottom>
      <diagonal/>
    </border>
    <border>
      <left style="medium">
        <color rgb="FFC65911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rgb="FFC65911"/>
      </right>
      <top style="thin">
        <color rgb="FFD3D3D3"/>
      </top>
      <bottom style="thin">
        <color rgb="FFD3D3D3"/>
      </bottom>
      <diagonal/>
    </border>
    <border>
      <left style="medium">
        <color rgb="FF37562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medium">
        <color rgb="FF37562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right"/>
    </xf>
    <xf numFmtId="0" fontId="6" fillId="6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right" vertical="center"/>
    </xf>
    <xf numFmtId="0" fontId="6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right" vertical="center"/>
    </xf>
    <xf numFmtId="0" fontId="8" fillId="2" borderId="0" xfId="0" applyFont="1" applyFill="1" applyAlignment="1">
      <alignment horizontal="center"/>
    </xf>
    <xf numFmtId="0" fontId="9" fillId="0" borderId="0" xfId="0" applyFont="1"/>
    <xf numFmtId="0" fontId="0" fillId="4" borderId="3" xfId="0" applyFill="1" applyBorder="1"/>
    <xf numFmtId="0" fontId="10" fillId="7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10" fillId="9" borderId="0" xfId="0" applyFont="1" applyFill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1" xfId="0" applyFont="1" applyBorder="1"/>
    <xf numFmtId="0" fontId="11" fillId="0" borderId="6" xfId="0" applyFont="1" applyBorder="1"/>
    <xf numFmtId="0" fontId="11" fillId="0" borderId="7" xfId="0" applyFont="1" applyBorder="1" applyAlignment="1">
      <alignment horizontal="center"/>
    </xf>
    <xf numFmtId="0" fontId="11" fillId="0" borderId="8" xfId="0" applyFont="1" applyBorder="1"/>
    <xf numFmtId="0" fontId="11" fillId="0" borderId="9" xfId="0" applyFont="1" applyBorder="1" applyAlignment="1">
      <alignment horizontal="center"/>
    </xf>
    <xf numFmtId="0" fontId="11" fillId="0" borderId="10" xfId="0" applyFont="1" applyBorder="1"/>
    <xf numFmtId="0" fontId="11" fillId="0" borderId="11" xfId="0" applyFont="1" applyBorder="1" applyAlignment="1">
      <alignment horizontal="center"/>
    </xf>
    <xf numFmtId="0" fontId="11" fillId="0" borderId="12" xfId="0" applyFont="1" applyBorder="1"/>
    <xf numFmtId="0" fontId="12" fillId="2" borderId="0" xfId="0" applyFont="1" applyFill="1" applyAlignment="1">
      <alignment horizontal="left" vertical="center"/>
    </xf>
    <xf numFmtId="0" fontId="12" fillId="2" borderId="0" xfId="0" applyFont="1" applyFill="1"/>
  </cellXfs>
  <cellStyles count="1">
    <cellStyle name="Normal" xfId="0" builtinId="0"/>
  </cellStyles>
  <dxfs count="186"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375623"/>
      </font>
      <fill>
        <patternFill patternType="solid">
          <fgColor rgb="FFE2EFDA"/>
        </patternFill>
      </fill>
    </dxf>
    <dxf>
      <font>
        <b/>
        <color rgb="FF1F4E78"/>
      </font>
      <fill>
        <patternFill patternType="solid">
          <fgColor rgb="FFDDEBF7"/>
        </patternFill>
      </fill>
    </dxf>
    <dxf>
      <font>
        <b/>
        <color rgb="FFC65911"/>
      </font>
      <fill>
        <patternFill patternType="solid">
          <fgColor rgb="FFFCE4D6"/>
        </patternFill>
      </fill>
    </dxf>
    <dxf>
      <font>
        <b/>
        <color rgb="FFC00000"/>
      </font>
      <fill>
        <patternFill patternType="solid">
          <fgColor rgb="FFF8CBAD"/>
        </patternFill>
      </fill>
    </dxf>
    <dxf>
      <font>
        <color rgb="FF595959"/>
      </font>
      <fill>
        <patternFill patternType="solid">
          <f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>
      <pane ySplit="14" topLeftCell="A15" activePane="bottomLeft" state="frozen"/>
      <selection pane="bottomLeft"/>
    </sheetView>
  </sheetViews>
  <sheetFormatPr defaultRowHeight="15" outlineLevelRow="0" outlineLevelCol="0" x14ac:dyDescent="55"/>
  <sheetData>
    <row r="1" ht="36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16" customHeight="1" spans="1:12" x14ac:dyDescent="0.25">
      <c r="A2" s="2" t="s">
        <v>1</v>
      </c>
      <c r="B2" s="2"/>
      <c r="C2" s="2" t="s">
        <v>2</v>
      </c>
      <c r="D2" s="2"/>
      <c r="E2" s="2" t="s">
        <v>3</v>
      </c>
      <c r="F2" s="2"/>
      <c r="G2" s="2" t="s">
        <v>4</v>
      </c>
      <c r="H2" s="2"/>
      <c r="I2" s="2" t="s">
        <v>5</v>
      </c>
      <c r="J2" s="2"/>
      <c r="K2" s="2" t="s">
        <v>6</v>
      </c>
      <c r="L2" s="2"/>
    </row>
    <row r="3" ht="18" customHeight="1" spans="1:12" x14ac:dyDescent="0.25">
      <c r="A3" s="3">
        <f>=COUNTIF(F16:F80, "Completed")/COUNTA(A16:A80)</f>
      </c>
      <c r="B3" s="3"/>
      <c r="C3" s="3">
        <f>=COUNTIF(F16:F80, "Blocked")</f>
      </c>
      <c r="D3" s="3"/>
      <c r="E3" s="3">
        <f>=COUNTIFS(E16:E80, "Critical", F16:F80, "&lt;&gt;Completed")</f>
      </c>
      <c r="F3" s="3"/>
      <c r="G3" s="3">
        <f>=COUNTIFS('Bug Tracker'!G6:G50, "&lt;&gt;Completed", 'Bug Tracker'!G6:G50, "&lt;&gt;")</f>
      </c>
      <c r="H3" s="3"/>
      <c r="I3" s="3">
        <f>=COUNTIF('Security Checklist'!C6:C23, "Completed")/COUNTA('Security Checklist'!C6:C23)</f>
      </c>
      <c r="J3" s="3"/>
      <c r="K3" s="3">
        <f>=COUNTIF('Deployment Checklist'!C6:C18, "Completed")/COUNTA('Deployment Checklist'!C6:C18)</f>
      </c>
      <c r="L3" s="3"/>
    </row>
    <row r="4" ht="18" customHeight="1" spans="1:12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6" ht="20" customHeight="1" spans="1:18" x14ac:dyDescent="0.25">
      <c r="A6" s="4" t="s">
        <v>7</v>
      </c>
      <c r="B6" s="4"/>
      <c r="C6" s="4"/>
      <c r="D6" s="4"/>
      <c r="E6" s="4"/>
      <c r="F6" s="4"/>
      <c r="H6" s="4" t="s">
        <v>8</v>
      </c>
      <c r="I6" s="4"/>
      <c r="J6" s="4"/>
      <c r="K6" s="4"/>
      <c r="L6" s="4"/>
      <c r="M6" s="4"/>
      <c r="O6" s="4" t="s">
        <v>9</v>
      </c>
      <c r="P6" s="4"/>
      <c r="Q6" s="4"/>
      <c r="R6" s="4"/>
    </row>
    <row r="7" ht="18" customHeight="1" spans="1:18" x14ac:dyDescent="0.25">
      <c r="A7" s="5" t="s">
        <v>10</v>
      </c>
      <c r="B7" s="5" t="s">
        <v>11</v>
      </c>
      <c r="C7" s="5" t="s">
        <v>12</v>
      </c>
      <c r="D7" s="5" t="s">
        <v>13</v>
      </c>
      <c r="E7" s="5" t="s">
        <v>14</v>
      </c>
      <c r="F7" s="5" t="s">
        <v>15</v>
      </c>
      <c r="H7" s="5" t="s">
        <v>16</v>
      </c>
      <c r="I7" s="5" t="s">
        <v>17</v>
      </c>
      <c r="J7" s="5" t="s">
        <v>12</v>
      </c>
      <c r="K7" s="5" t="s">
        <v>13</v>
      </c>
      <c r="L7" s="5" t="s">
        <v>14</v>
      </c>
      <c r="M7" s="5" t="s">
        <v>15</v>
      </c>
      <c r="O7" s="5" t="s">
        <v>18</v>
      </c>
      <c r="P7" s="5" t="s">
        <v>19</v>
      </c>
      <c r="Q7" s="5" t="s">
        <v>12</v>
      </c>
      <c r="R7" s="5" t="s">
        <v>20</v>
      </c>
    </row>
    <row r="8" spans="1:18" x14ac:dyDescent="0.25">
      <c r="A8" s="6" t="s">
        <v>21</v>
      </c>
      <c r="B8" s="7">
        <f>=COUNTIF($D$16:$D$100, A8)</f>
      </c>
      <c r="C8" s="7">
        <f>=COUNTIFS($D$16:$D$100, A8, $F$16:$F$100, "Completed")</f>
      </c>
      <c r="D8" s="7">
        <f>=B8-C8-E8</f>
      </c>
      <c r="E8" s="7">
        <f>=COUNTIFS($D$16:$D$100, A8, $F$16:$F$100, "Blocked")</f>
      </c>
      <c r="F8" s="8">
        <f>=IF(B8&gt;0, C8/B8, 0)</f>
      </c>
      <c r="H8" s="6" t="s">
        <v>22</v>
      </c>
      <c r="I8" s="7">
        <f>=COUNTIF($B$16:$B$100, H8)</f>
      </c>
      <c r="J8" s="7">
        <f>=COUNTIFS($B$16:$B$100, H8, $F$16:$F$100, "Completed")</f>
      </c>
      <c r="K8" s="7">
        <f>=I8-J8-L8</f>
      </c>
      <c r="L8" s="7">
        <f>=COUNTIFS($B$16:$B$100, H8, $F$16:$F$100, "Blocked")</f>
      </c>
      <c r="M8" s="8">
        <f>=IF(I8&gt;0, J8/I8, 0)</f>
      </c>
      <c r="O8" s="6" t="s">
        <v>23</v>
      </c>
      <c r="P8" s="7">
        <f>=COUNTIF($H$16:$H$100, O8)</f>
      </c>
      <c r="Q8" s="7">
        <f>=COUNTIFS($H$16:$H$100, O8, $F$16:$F$100, "Completed")</f>
      </c>
      <c r="R8" s="8">
        <f>=IF(P8&gt;0, Q8/P8, 0)</f>
      </c>
    </row>
    <row r="9" spans="1:18" x14ac:dyDescent="0.25">
      <c r="A9" s="9" t="s">
        <v>24</v>
      </c>
      <c r="B9" s="10">
        <f>=COUNTIF($D$16:$D$100, A9)</f>
      </c>
      <c r="C9" s="10">
        <f>=COUNTIFS($D$16:$D$100, A9, $F$16:$F$100, "Completed")</f>
      </c>
      <c r="D9" s="10">
        <f>=B9-C9-E9</f>
      </c>
      <c r="E9" s="10">
        <f>=COUNTIFS($D$16:$D$100, A9, $F$16:$F$100, "Blocked")</f>
      </c>
      <c r="F9" s="11">
        <f>=IF(B9&gt;0, C9/B9, 0)</f>
      </c>
      <c r="H9" s="9" t="s">
        <v>25</v>
      </c>
      <c r="I9" s="10">
        <f>=COUNTIF($B$16:$B$100, H9)</f>
      </c>
      <c r="J9" s="10">
        <f>=COUNTIFS($B$16:$B$100, H9, $F$16:$F$100, "Completed")</f>
      </c>
      <c r="K9" s="10">
        <f>=I9-J9-L9</f>
      </c>
      <c r="L9" s="10">
        <f>=COUNTIFS($B$16:$B$100, H9, $F$16:$F$100, "Blocked")</f>
      </c>
      <c r="M9" s="11">
        <f>=IF(I9&gt;0, J9/I9, 0)</f>
      </c>
      <c r="O9" s="9" t="s">
        <v>26</v>
      </c>
      <c r="P9" s="10">
        <f>=COUNTIF($H$16:$H$100, O9)</f>
      </c>
      <c r="Q9" s="10">
        <f>=COUNTIFS($H$16:$H$100, O9, $F$16:$F$100, "Completed")</f>
      </c>
      <c r="R9" s="11">
        <f>=IF(P9&gt;0, Q9/P9, 0)</f>
      </c>
    </row>
    <row r="10" spans="1:18" x14ac:dyDescent="0.25">
      <c r="A10" s="6" t="s">
        <v>27</v>
      </c>
      <c r="B10" s="7">
        <f>=COUNTIF($D$16:$D$100, A10)</f>
      </c>
      <c r="C10" s="7">
        <f>=COUNTIFS($D$16:$D$100, A10, $F$16:$F$100, "Completed")</f>
      </c>
      <c r="D10" s="7">
        <f>=B10-C10-E10</f>
      </c>
      <c r="E10" s="7">
        <f>=COUNTIFS($D$16:$D$100, A10, $F$16:$F$100, "Blocked")</f>
      </c>
      <c r="F10" s="8">
        <f>=IF(B10&gt;0, C10/B10, 0)</f>
      </c>
      <c r="H10" s="6" t="s">
        <v>28</v>
      </c>
      <c r="I10" s="7">
        <f>=COUNTIF($B$16:$B$100, H10)</f>
      </c>
      <c r="J10" s="7">
        <f>=COUNTIFS($B$16:$B$100, H10, $F$16:$F$100, "Completed")</f>
      </c>
      <c r="K10" s="7">
        <f>=I10-J10-L10</f>
      </c>
      <c r="L10" s="7">
        <f>=COUNTIFS($B$16:$B$100, H10, $F$16:$F$100, "Blocked")</f>
      </c>
      <c r="M10" s="8">
        <f>=IF(I10&gt;0, J10/I10, 0)</f>
      </c>
      <c r="O10" s="6" t="s">
        <v>29</v>
      </c>
      <c r="P10" s="7">
        <f>=COUNTIF($H$16:$H$100, O10)</f>
      </c>
      <c r="Q10" s="7">
        <f>=COUNTIFS($H$16:$H$100, O10, $F$16:$F$100, "Completed")</f>
      </c>
      <c r="R10" s="8">
        <f>=IF(P10&gt;0, Q10/P10, 0)</f>
      </c>
    </row>
    <row r="11" spans="1:18" x14ac:dyDescent="0.25">
      <c r="A11" s="9" t="s">
        <v>30</v>
      </c>
      <c r="B11" s="10">
        <f>=COUNTIF($D$16:$D$100, A11)</f>
      </c>
      <c r="C11" s="10">
        <f>=COUNTIFS($D$16:$D$100, A11, $F$16:$F$100, "Completed")</f>
      </c>
      <c r="D11" s="10">
        <f>=B11-C11-E11</f>
      </c>
      <c r="E11" s="10">
        <f>=COUNTIFS($D$16:$D$100, A11, $F$16:$F$100, "Blocked")</f>
      </c>
      <c r="F11" s="11">
        <f>=IF(B11&gt;0, C11/B11, 0)</f>
      </c>
      <c r="H11" s="9" t="s">
        <v>31</v>
      </c>
      <c r="I11" s="10">
        <f>=COUNTIF($B$16:$B$100, H11)</f>
      </c>
      <c r="J11" s="10">
        <f>=COUNTIFS($B$16:$B$100, H11, $F$16:$F$100, "Completed")</f>
      </c>
      <c r="K11" s="10">
        <f>=I11-J11-L11</f>
      </c>
      <c r="L11" s="10">
        <f>=COUNTIFS($B$16:$B$100, H11, $F$16:$F$100, "Blocked")</f>
      </c>
      <c r="M11" s="11">
        <f>=IF(I11&gt;0, J11/I11, 0)</f>
      </c>
      <c r="O11" s="9" t="s">
        <v>32</v>
      </c>
      <c r="P11" s="10">
        <f>=COUNTIF($H$16:$H$100, O11)</f>
      </c>
      <c r="Q11" s="10">
        <f>=COUNTIFS($H$16:$H$100, O11, $F$16:$F$100, "Completed")</f>
      </c>
      <c r="R11" s="11">
        <f>=IF(P11&gt;0, Q11/P11, 0)</f>
      </c>
    </row>
    <row r="12" spans="1:18" x14ac:dyDescent="0.25">
      <c r="A12" s="6" t="s">
        <v>33</v>
      </c>
      <c r="B12" s="7">
        <f>=COUNTIF($D$16:$D$100, A12)</f>
      </c>
      <c r="C12" s="7">
        <f>=COUNTIFS($D$16:$D$100, A12, $F$16:$F$100, "Completed")</f>
      </c>
      <c r="D12" s="7">
        <f>=B12-C12-E12</f>
      </c>
      <c r="E12" s="7">
        <f>=COUNTIFS($D$16:$D$100, A12, $F$16:$F$100, "Blocked")</f>
      </c>
      <c r="F12" s="8">
        <f>=IF(B12&gt;0, C12/B12, 0)</f>
      </c>
      <c r="H12" s="6" t="s">
        <v>34</v>
      </c>
      <c r="I12" s="7">
        <f>=COUNTIF($B$16:$B$100, H12)</f>
      </c>
      <c r="J12" s="7">
        <f>=COUNTIFS($B$16:$B$100, H12, $F$16:$F$100, "Completed")</f>
      </c>
      <c r="K12" s="7">
        <f>=I12-J12-L12</f>
      </c>
      <c r="L12" s="7">
        <f>=COUNTIFS($B$16:$B$100, H12, $F$16:$F$100, "Blocked")</f>
      </c>
      <c r="M12" s="8">
        <f>=IF(I12&gt;0, J12/I12, 0)</f>
      </c>
      <c r="O12" s="6" t="s">
        <v>35</v>
      </c>
      <c r="P12" s="7">
        <f>=COUNTIF($H$16:$H$100, O12)</f>
      </c>
      <c r="Q12" s="7">
        <f>=COUNTIFS($H$16:$H$100, O12, $F$16:$F$100, "Completed")</f>
      </c>
      <c r="R12" s="8">
        <f>=IF(P12&gt;0, Q12/P12, 0)</f>
      </c>
    </row>
    <row r="13" spans="1:18" x14ac:dyDescent="0.25">
      <c r="A13" s="9" t="s">
        <v>36</v>
      </c>
      <c r="B13" s="10">
        <f>=COUNTIF($D$16:$D$100, A13)</f>
      </c>
      <c r="C13" s="10">
        <f>=COUNTIFS($D$16:$D$100, A13, $F$16:$F$100, "Completed")</f>
      </c>
      <c r="D13" s="10">
        <f>=B13-C13-E13</f>
      </c>
      <c r="E13" s="10">
        <f>=COUNTIFS($D$16:$D$100, A13, $F$16:$F$100, "Blocked")</f>
      </c>
      <c r="F13" s="11">
        <f>=IF(B13&gt;0, C13/B13, 0)</f>
      </c>
      <c r="H13" s="9" t="s">
        <v>37</v>
      </c>
      <c r="I13" s="10">
        <f>=COUNTIF($B$16:$B$100, H13)</f>
      </c>
      <c r="J13" s="10">
        <f>=COUNTIFS($B$16:$B$100, H13, $F$16:$F$100, "Completed")</f>
      </c>
      <c r="K13" s="10">
        <f>=I13-J13-L13</f>
      </c>
      <c r="L13" s="10">
        <f>=COUNTIFS($B$16:$B$100, H13, $F$16:$F$100, "Blocked")</f>
      </c>
      <c r="M13" s="11">
        <f>=IF(I13&gt;0, J13/I13, 0)</f>
      </c>
      <c r="O13" s="9" t="s">
        <v>38</v>
      </c>
      <c r="P13" s="10">
        <f>=COUNTIF($H$16:$H$100, O13)</f>
      </c>
      <c r="Q13" s="10">
        <f>=COUNTIFS($H$16:$H$100, O13, $F$16:$F$100, "Completed")</f>
      </c>
      <c r="R13" s="11">
        <f>=IF(P13&gt;0, Q13/P13, 0)</f>
      </c>
    </row>
    <row r="14" spans="8:18" x14ac:dyDescent="0.25">
      <c r="H14" s="6" t="s">
        <v>39</v>
      </c>
      <c r="I14" s="7">
        <f>=COUNTIF($B$16:$B$100, H14)</f>
      </c>
      <c r="J14" s="7">
        <f>=COUNTIFS($B$16:$B$100, H14, $F$16:$F$100, "Completed")</f>
      </c>
      <c r="K14" s="7">
        <f>=I14-J14-L14</f>
      </c>
      <c r="L14" s="7">
        <f>=COUNTIFS($B$16:$B$100, H14, $F$16:$F$100, "Blocked")</f>
      </c>
      <c r="M14" s="8">
        <f>=IF(I14&gt;0, J14/I14, 0)</f>
      </c>
      <c r="O14" s="6" t="s">
        <v>40</v>
      </c>
      <c r="P14" s="7">
        <f>=COUNTIF($H$16:$H$100, O14)</f>
      </c>
      <c r="Q14" s="7">
        <f>=COUNTIFS($H$16:$H$100, O14, $F$16:$F$100, "Completed")</f>
      </c>
      <c r="R14" s="8">
        <f>=IF(P14&gt;0, Q14/P14, 0)</f>
      </c>
    </row>
    <row r="15" ht="26" customHeight="1" spans="1:18" x14ac:dyDescent="0.25">
      <c r="A15" s="12" t="s">
        <v>41</v>
      </c>
      <c r="B15" s="12" t="s">
        <v>42</v>
      </c>
      <c r="C15" s="12" t="s">
        <v>43</v>
      </c>
      <c r="D15" s="12" t="s">
        <v>44</v>
      </c>
      <c r="E15" s="12" t="s">
        <v>45</v>
      </c>
      <c r="F15" s="12" t="s">
        <v>46</v>
      </c>
      <c r="G15" s="12" t="s">
        <v>47</v>
      </c>
      <c r="H15" s="12" t="s">
        <v>48</v>
      </c>
      <c r="I15" s="12" t="s">
        <v>49</v>
      </c>
      <c r="J15" s="12" t="s">
        <v>50</v>
      </c>
      <c r="K15" s="12" t="s">
        <v>51</v>
      </c>
      <c r="L15" s="12" t="s">
        <v>52</v>
      </c>
      <c r="O15" s="9" t="s">
        <v>53</v>
      </c>
      <c r="P15" s="10">
        <f>=COUNTIF($H$16:$H$100, O15)</f>
      </c>
      <c r="Q15" s="10">
        <f>=COUNTIFS($H$16:$H$100, O15, $F$16:$F$100, "Completed")</f>
      </c>
      <c r="R15" s="11">
        <f>=IF(P15&gt;0, Q15/P15, 0)</f>
      </c>
    </row>
    <row r="16" spans="1:12" x14ac:dyDescent="0.25">
      <c r="A16" s="13" t="s">
        <v>54</v>
      </c>
      <c r="B16" s="6" t="s">
        <v>39</v>
      </c>
      <c r="C16" s="6" t="s">
        <v>55</v>
      </c>
      <c r="D16" s="6" t="s">
        <v>24</v>
      </c>
      <c r="E16" s="13" t="s">
        <v>56</v>
      </c>
      <c r="F16" s="13" t="s">
        <v>57</v>
      </c>
      <c r="G16" s="14">
        <f>=IF(F16="Completed", 1, IF(F16="In Progress", 0.5, IF(F16="Review", 0.8, 0)))</f>
      </c>
      <c r="H16" s="13" t="s">
        <v>23</v>
      </c>
      <c r="I16" s="13" t="s">
        <v>58</v>
      </c>
      <c r="J16" s="13" t="s">
        <v>13</v>
      </c>
      <c r="K16" s="13" t="s">
        <v>13</v>
      </c>
      <c r="L16" s="6" t="s">
        <v>59</v>
      </c>
    </row>
    <row r="17" spans="1:12" x14ac:dyDescent="0.25">
      <c r="A17" s="15" t="s">
        <v>60</v>
      </c>
      <c r="B17" s="9" t="s">
        <v>39</v>
      </c>
      <c r="C17" s="9" t="s">
        <v>61</v>
      </c>
      <c r="D17" s="9" t="s">
        <v>30</v>
      </c>
      <c r="E17" s="15" t="s">
        <v>56</v>
      </c>
      <c r="F17" s="15" t="s">
        <v>57</v>
      </c>
      <c r="G17" s="16">
        <f>=IF(F17="Completed", 1, IF(F17="In Progress", 0.5, IF(F17="Review", 0.8, 0)))</f>
      </c>
      <c r="H17" s="15" t="s">
        <v>23</v>
      </c>
      <c r="I17" s="15" t="s">
        <v>58</v>
      </c>
      <c r="J17" s="15" t="s">
        <v>13</v>
      </c>
      <c r="K17" s="15" t="s">
        <v>13</v>
      </c>
      <c r="L17" s="9" t="s">
        <v>62</v>
      </c>
    </row>
    <row r="18" spans="1:12" x14ac:dyDescent="0.25">
      <c r="A18" s="13" t="s">
        <v>63</v>
      </c>
      <c r="B18" s="6" t="s">
        <v>39</v>
      </c>
      <c r="C18" s="6" t="s">
        <v>64</v>
      </c>
      <c r="D18" s="6" t="s">
        <v>24</v>
      </c>
      <c r="E18" s="13" t="s">
        <v>65</v>
      </c>
      <c r="F18" s="13" t="s">
        <v>57</v>
      </c>
      <c r="G18" s="14">
        <f>=IF(F18="Completed", 1, IF(F18="In Progress", 0.5, IF(F18="Review", 0.8, 0)))</f>
      </c>
      <c r="H18" s="13" t="s">
        <v>23</v>
      </c>
      <c r="I18" s="13" t="s">
        <v>58</v>
      </c>
      <c r="J18" s="13" t="s">
        <v>13</v>
      </c>
      <c r="K18" s="13" t="s">
        <v>13</v>
      </c>
      <c r="L18" s="6" t="s">
        <v>66</v>
      </c>
    </row>
    <row r="19" spans="1:12" x14ac:dyDescent="0.25">
      <c r="A19" s="15" t="s">
        <v>67</v>
      </c>
      <c r="B19" s="9" t="s">
        <v>39</v>
      </c>
      <c r="C19" s="9" t="s">
        <v>68</v>
      </c>
      <c r="D19" s="9" t="s">
        <v>30</v>
      </c>
      <c r="E19" s="15" t="s">
        <v>69</v>
      </c>
      <c r="F19" s="15" t="s">
        <v>57</v>
      </c>
      <c r="G19" s="16">
        <f>=IF(F19="Completed", 1, IF(F19="In Progress", 0.5, IF(F19="Review", 0.8, 0)))</f>
      </c>
      <c r="H19" s="15" t="s">
        <v>23</v>
      </c>
      <c r="I19" s="15" t="s">
        <v>58</v>
      </c>
      <c r="J19" s="15" t="s">
        <v>13</v>
      </c>
      <c r="K19" s="15" t="s">
        <v>13</v>
      </c>
      <c r="L19" s="9" t="s">
        <v>70</v>
      </c>
    </row>
    <row r="20" spans="1:12" x14ac:dyDescent="0.25">
      <c r="A20" s="13" t="s">
        <v>71</v>
      </c>
      <c r="B20" s="6" t="s">
        <v>28</v>
      </c>
      <c r="C20" s="6" t="s">
        <v>72</v>
      </c>
      <c r="D20" s="6" t="s">
        <v>27</v>
      </c>
      <c r="E20" s="13" t="s">
        <v>69</v>
      </c>
      <c r="F20" s="13" t="s">
        <v>57</v>
      </c>
      <c r="G20" s="14">
        <f>=IF(F20="Completed", 1, IF(F20="In Progress", 0.5, IF(F20="Review", 0.8, 0)))</f>
      </c>
      <c r="H20" s="13" t="s">
        <v>23</v>
      </c>
      <c r="I20" s="13" t="s">
        <v>58</v>
      </c>
      <c r="J20" s="13" t="s">
        <v>13</v>
      </c>
      <c r="K20" s="13" t="s">
        <v>13</v>
      </c>
      <c r="L20" s="6" t="s">
        <v>73</v>
      </c>
    </row>
    <row r="21" spans="1:12" x14ac:dyDescent="0.25">
      <c r="A21" s="15" t="s">
        <v>74</v>
      </c>
      <c r="B21" s="9" t="s">
        <v>39</v>
      </c>
      <c r="C21" s="9" t="s">
        <v>75</v>
      </c>
      <c r="D21" s="9" t="s">
        <v>24</v>
      </c>
      <c r="E21" s="15" t="s">
        <v>69</v>
      </c>
      <c r="F21" s="15" t="s">
        <v>57</v>
      </c>
      <c r="G21" s="16">
        <f>=IF(F21="Completed", 1, IF(F21="In Progress", 0.5, IF(F21="Review", 0.8, 0)))</f>
      </c>
      <c r="H21" s="15" t="s">
        <v>26</v>
      </c>
      <c r="I21" s="15" t="s">
        <v>58</v>
      </c>
      <c r="J21" s="15" t="s">
        <v>13</v>
      </c>
      <c r="K21" s="15" t="s">
        <v>13</v>
      </c>
      <c r="L21" s="9" t="s">
        <v>76</v>
      </c>
    </row>
    <row r="22" spans="1:12" x14ac:dyDescent="0.25">
      <c r="A22" s="13" t="s">
        <v>77</v>
      </c>
      <c r="B22" s="6" t="s">
        <v>39</v>
      </c>
      <c r="C22" s="6" t="s">
        <v>78</v>
      </c>
      <c r="D22" s="6" t="s">
        <v>30</v>
      </c>
      <c r="E22" s="13" t="s">
        <v>56</v>
      </c>
      <c r="F22" s="13" t="s">
        <v>57</v>
      </c>
      <c r="G22" s="14">
        <f>=IF(F22="Completed", 1, IF(F22="In Progress", 0.5, IF(F22="Review", 0.8, 0)))</f>
      </c>
      <c r="H22" s="13" t="s">
        <v>26</v>
      </c>
      <c r="I22" s="13" t="s">
        <v>58</v>
      </c>
      <c r="J22" s="13" t="s">
        <v>13</v>
      </c>
      <c r="K22" s="13" t="s">
        <v>13</v>
      </c>
      <c r="L22" s="6" t="s">
        <v>79</v>
      </c>
    </row>
    <row r="23" spans="1:12" x14ac:dyDescent="0.25">
      <c r="A23" s="15" t="s">
        <v>80</v>
      </c>
      <c r="B23" s="9" t="s">
        <v>39</v>
      </c>
      <c r="C23" s="9" t="s">
        <v>81</v>
      </c>
      <c r="D23" s="9" t="s">
        <v>30</v>
      </c>
      <c r="E23" s="15" t="s">
        <v>65</v>
      </c>
      <c r="F23" s="15" t="s">
        <v>57</v>
      </c>
      <c r="G23" s="16">
        <f>=IF(F23="Completed", 1, IF(F23="In Progress", 0.5, IF(F23="Review", 0.8, 0)))</f>
      </c>
      <c r="H23" s="15" t="s">
        <v>26</v>
      </c>
      <c r="I23" s="15" t="s">
        <v>77</v>
      </c>
      <c r="J23" s="15" t="s">
        <v>13</v>
      </c>
      <c r="K23" s="15" t="s">
        <v>13</v>
      </c>
      <c r="L23" s="9" t="s">
        <v>82</v>
      </c>
    </row>
    <row r="24" spans="1:12" x14ac:dyDescent="0.25">
      <c r="A24" s="13" t="s">
        <v>83</v>
      </c>
      <c r="B24" s="6" t="s">
        <v>39</v>
      </c>
      <c r="C24" s="6" t="s">
        <v>84</v>
      </c>
      <c r="D24" s="6" t="s">
        <v>24</v>
      </c>
      <c r="E24" s="13" t="s">
        <v>65</v>
      </c>
      <c r="F24" s="13" t="s">
        <v>57</v>
      </c>
      <c r="G24" s="14">
        <f>=IF(F24="Completed", 1, IF(F24="In Progress", 0.5, IF(F24="Review", 0.8, 0)))</f>
      </c>
      <c r="H24" s="13" t="s">
        <v>26</v>
      </c>
      <c r="I24" s="13" t="s">
        <v>58</v>
      </c>
      <c r="J24" s="13" t="s">
        <v>13</v>
      </c>
      <c r="K24" s="13" t="s">
        <v>13</v>
      </c>
      <c r="L24" s="6" t="s">
        <v>85</v>
      </c>
    </row>
    <row r="25" spans="1:12" x14ac:dyDescent="0.25">
      <c r="A25" s="15" t="s">
        <v>86</v>
      </c>
      <c r="B25" s="9" t="s">
        <v>25</v>
      </c>
      <c r="C25" s="9" t="s">
        <v>87</v>
      </c>
      <c r="D25" s="9" t="s">
        <v>24</v>
      </c>
      <c r="E25" s="15" t="s">
        <v>56</v>
      </c>
      <c r="F25" s="15" t="s">
        <v>57</v>
      </c>
      <c r="G25" s="16">
        <f>=IF(F25="Completed", 1, IF(F25="In Progress", 0.5, IF(F25="Review", 0.8, 0)))</f>
      </c>
      <c r="H25" s="15" t="s">
        <v>26</v>
      </c>
      <c r="I25" s="15" t="s">
        <v>58</v>
      </c>
      <c r="J25" s="15" t="s">
        <v>13</v>
      </c>
      <c r="K25" s="15" t="s">
        <v>13</v>
      </c>
      <c r="L25" s="9" t="s">
        <v>88</v>
      </c>
    </row>
    <row r="26" spans="1:12" x14ac:dyDescent="0.25">
      <c r="A26" s="13" t="s">
        <v>89</v>
      </c>
      <c r="B26" s="6" t="s">
        <v>25</v>
      </c>
      <c r="C26" s="6" t="s">
        <v>90</v>
      </c>
      <c r="D26" s="6" t="s">
        <v>24</v>
      </c>
      <c r="E26" s="13" t="s">
        <v>65</v>
      </c>
      <c r="F26" s="13" t="s">
        <v>57</v>
      </c>
      <c r="G26" s="14">
        <f>=IF(F26="Completed", 1, IF(F26="In Progress", 0.5, IF(F26="Review", 0.8, 0)))</f>
      </c>
      <c r="H26" s="13" t="s">
        <v>26</v>
      </c>
      <c r="I26" s="13" t="s">
        <v>86</v>
      </c>
      <c r="J26" s="13" t="s">
        <v>13</v>
      </c>
      <c r="K26" s="13" t="s">
        <v>13</v>
      </c>
      <c r="L26" s="6" t="s">
        <v>91</v>
      </c>
    </row>
    <row r="27" spans="1:12" x14ac:dyDescent="0.25">
      <c r="A27" s="15" t="s">
        <v>92</v>
      </c>
      <c r="B27" s="9" t="s">
        <v>25</v>
      </c>
      <c r="C27" s="9" t="s">
        <v>93</v>
      </c>
      <c r="D27" s="9" t="s">
        <v>24</v>
      </c>
      <c r="E27" s="15" t="s">
        <v>56</v>
      </c>
      <c r="F27" s="15" t="s">
        <v>57</v>
      </c>
      <c r="G27" s="16">
        <f>=IF(F27="Completed", 1, IF(F27="In Progress", 0.5, IF(F27="Review", 0.8, 0)))</f>
      </c>
      <c r="H27" s="15" t="s">
        <v>26</v>
      </c>
      <c r="I27" s="15" t="s">
        <v>86</v>
      </c>
      <c r="J27" s="15" t="s">
        <v>13</v>
      </c>
      <c r="K27" s="15" t="s">
        <v>13</v>
      </c>
      <c r="L27" s="9" t="s">
        <v>94</v>
      </c>
    </row>
    <row r="28" spans="1:12" x14ac:dyDescent="0.25">
      <c r="A28" s="13" t="s">
        <v>95</v>
      </c>
      <c r="B28" s="6" t="s">
        <v>25</v>
      </c>
      <c r="C28" s="6" t="s">
        <v>96</v>
      </c>
      <c r="D28" s="6" t="s">
        <v>24</v>
      </c>
      <c r="E28" s="13" t="s">
        <v>56</v>
      </c>
      <c r="F28" s="13" t="s">
        <v>57</v>
      </c>
      <c r="G28" s="14">
        <f>=IF(F28="Completed", 1, IF(F28="In Progress", 0.5, IF(F28="Review", 0.8, 0)))</f>
      </c>
      <c r="H28" s="13" t="s">
        <v>26</v>
      </c>
      <c r="I28" s="13" t="s">
        <v>58</v>
      </c>
      <c r="J28" s="13" t="s">
        <v>13</v>
      </c>
      <c r="K28" s="13" t="s">
        <v>13</v>
      </c>
      <c r="L28" s="6" t="s">
        <v>97</v>
      </c>
    </row>
    <row r="29" spans="1:12" x14ac:dyDescent="0.25">
      <c r="A29" s="15" t="s">
        <v>98</v>
      </c>
      <c r="B29" s="9" t="s">
        <v>25</v>
      </c>
      <c r="C29" s="9" t="s">
        <v>99</v>
      </c>
      <c r="D29" s="9" t="s">
        <v>24</v>
      </c>
      <c r="E29" s="15" t="s">
        <v>100</v>
      </c>
      <c r="F29" s="15" t="s">
        <v>57</v>
      </c>
      <c r="G29" s="16">
        <f>=IF(F29="Completed", 1, IF(F29="In Progress", 0.5, IF(F29="Review", 0.8, 0)))</f>
      </c>
      <c r="H29" s="15" t="s">
        <v>26</v>
      </c>
      <c r="I29" s="15" t="s">
        <v>86</v>
      </c>
      <c r="J29" s="15" t="s">
        <v>13</v>
      </c>
      <c r="K29" s="15" t="s">
        <v>13</v>
      </c>
      <c r="L29" s="9" t="s">
        <v>101</v>
      </c>
    </row>
    <row r="30" spans="1:12" x14ac:dyDescent="0.25">
      <c r="A30" s="13" t="s">
        <v>102</v>
      </c>
      <c r="B30" s="6" t="s">
        <v>25</v>
      </c>
      <c r="C30" s="6" t="s">
        <v>103</v>
      </c>
      <c r="D30" s="6" t="s">
        <v>24</v>
      </c>
      <c r="E30" s="13" t="s">
        <v>65</v>
      </c>
      <c r="F30" s="13" t="s">
        <v>57</v>
      </c>
      <c r="G30" s="14">
        <f>=IF(F30="Completed", 1, IF(F30="In Progress", 0.5, IF(F30="Review", 0.8, 0)))</f>
      </c>
      <c r="H30" s="13" t="s">
        <v>26</v>
      </c>
      <c r="I30" s="13" t="s">
        <v>86</v>
      </c>
      <c r="J30" s="13" t="s">
        <v>13</v>
      </c>
      <c r="K30" s="13" t="s">
        <v>13</v>
      </c>
      <c r="L30" s="6" t="s">
        <v>104</v>
      </c>
    </row>
    <row r="31" spans="1:12" x14ac:dyDescent="0.25">
      <c r="A31" s="15" t="s">
        <v>105</v>
      </c>
      <c r="B31" s="9" t="s">
        <v>22</v>
      </c>
      <c r="C31" s="9" t="s">
        <v>106</v>
      </c>
      <c r="D31" s="9" t="s">
        <v>30</v>
      </c>
      <c r="E31" s="15" t="s">
        <v>69</v>
      </c>
      <c r="F31" s="15" t="s">
        <v>57</v>
      </c>
      <c r="G31" s="16">
        <f>=IF(F31="Completed", 1, IF(F31="In Progress", 0.5, IF(F31="Review", 0.8, 0)))</f>
      </c>
      <c r="H31" s="15" t="s">
        <v>26</v>
      </c>
      <c r="I31" s="15" t="s">
        <v>77</v>
      </c>
      <c r="J31" s="15" t="s">
        <v>13</v>
      </c>
      <c r="K31" s="15" t="s">
        <v>13</v>
      </c>
      <c r="L31" s="9" t="s">
        <v>107</v>
      </c>
    </row>
    <row r="32" spans="1:12" x14ac:dyDescent="0.25">
      <c r="A32" s="13" t="s">
        <v>108</v>
      </c>
      <c r="B32" s="6" t="s">
        <v>28</v>
      </c>
      <c r="C32" s="6" t="s">
        <v>109</v>
      </c>
      <c r="D32" s="6" t="s">
        <v>27</v>
      </c>
      <c r="E32" s="13" t="s">
        <v>69</v>
      </c>
      <c r="F32" s="13" t="s">
        <v>57</v>
      </c>
      <c r="G32" s="14">
        <f>=IF(F32="Completed", 1, IF(F32="In Progress", 0.5, IF(F32="Review", 0.8, 0)))</f>
      </c>
      <c r="H32" s="13" t="s">
        <v>26</v>
      </c>
      <c r="I32" s="13" t="s">
        <v>74</v>
      </c>
      <c r="J32" s="13" t="s">
        <v>13</v>
      </c>
      <c r="K32" s="13" t="s">
        <v>13</v>
      </c>
      <c r="L32" s="6" t="s">
        <v>110</v>
      </c>
    </row>
    <row r="33" spans="1:12" x14ac:dyDescent="0.25">
      <c r="A33" s="15" t="s">
        <v>111</v>
      </c>
      <c r="B33" s="9" t="s">
        <v>22</v>
      </c>
      <c r="C33" s="9" t="s">
        <v>112</v>
      </c>
      <c r="D33" s="9" t="s">
        <v>30</v>
      </c>
      <c r="E33" s="15" t="s">
        <v>69</v>
      </c>
      <c r="F33" s="15" t="s">
        <v>57</v>
      </c>
      <c r="G33" s="16">
        <f>=IF(F33="Completed", 1, IF(F33="In Progress", 0.5, IF(F33="Review", 0.8, 0)))</f>
      </c>
      <c r="H33" s="15" t="s">
        <v>26</v>
      </c>
      <c r="I33" s="15" t="s">
        <v>113</v>
      </c>
      <c r="J33" s="15" t="s">
        <v>13</v>
      </c>
      <c r="K33" s="15" t="s">
        <v>13</v>
      </c>
      <c r="L33" s="9" t="s">
        <v>114</v>
      </c>
    </row>
    <row r="34" spans="1:12" x14ac:dyDescent="0.25">
      <c r="A34" s="13" t="s">
        <v>115</v>
      </c>
      <c r="B34" s="6" t="s">
        <v>22</v>
      </c>
      <c r="C34" s="6" t="s">
        <v>116</v>
      </c>
      <c r="D34" s="6" t="s">
        <v>30</v>
      </c>
      <c r="E34" s="13" t="s">
        <v>69</v>
      </c>
      <c r="F34" s="13" t="s">
        <v>57</v>
      </c>
      <c r="G34" s="14">
        <f>=IF(F34="Completed", 1, IF(F34="In Progress", 0.5, IF(F34="Review", 0.8, 0)))</f>
      </c>
      <c r="H34" s="13" t="s">
        <v>26</v>
      </c>
      <c r="I34" s="13" t="s">
        <v>111</v>
      </c>
      <c r="J34" s="13" t="s">
        <v>13</v>
      </c>
      <c r="K34" s="13" t="s">
        <v>13</v>
      </c>
      <c r="L34" s="6" t="s">
        <v>117</v>
      </c>
    </row>
    <row r="35" spans="1:12" x14ac:dyDescent="0.25">
      <c r="A35" s="15" t="s">
        <v>118</v>
      </c>
      <c r="B35" s="9" t="s">
        <v>25</v>
      </c>
      <c r="C35" s="9" t="s">
        <v>119</v>
      </c>
      <c r="D35" s="9" t="s">
        <v>24</v>
      </c>
      <c r="E35" s="15" t="s">
        <v>56</v>
      </c>
      <c r="F35" s="15" t="s">
        <v>57</v>
      </c>
      <c r="G35" s="16">
        <f>=IF(F35="Completed", 1, IF(F35="In Progress", 0.5, IF(F35="Review", 0.8, 0)))</f>
      </c>
      <c r="H35" s="15" t="s">
        <v>26</v>
      </c>
      <c r="I35" s="15" t="s">
        <v>92</v>
      </c>
      <c r="J35" s="15" t="s">
        <v>13</v>
      </c>
      <c r="K35" s="15" t="s">
        <v>13</v>
      </c>
      <c r="L35" s="9" t="s">
        <v>120</v>
      </c>
    </row>
    <row r="36" spans="1:12" x14ac:dyDescent="0.25">
      <c r="A36" s="13" t="s">
        <v>121</v>
      </c>
      <c r="B36" s="6" t="s">
        <v>37</v>
      </c>
      <c r="C36" s="6" t="s">
        <v>122</v>
      </c>
      <c r="D36" s="6" t="s">
        <v>21</v>
      </c>
      <c r="E36" s="13" t="s">
        <v>56</v>
      </c>
      <c r="F36" s="13" t="s">
        <v>57</v>
      </c>
      <c r="G36" s="14">
        <f>=IF(F36="Completed", 1, IF(F36="In Progress", 0.5, IF(F36="Review", 0.8, 0)))</f>
      </c>
      <c r="H36" s="13" t="s">
        <v>26</v>
      </c>
      <c r="I36" s="13" t="s">
        <v>58</v>
      </c>
      <c r="J36" s="13" t="s">
        <v>13</v>
      </c>
      <c r="K36" s="13" t="s">
        <v>13</v>
      </c>
      <c r="L36" s="6" t="s">
        <v>123</v>
      </c>
    </row>
    <row r="37" spans="1:12" x14ac:dyDescent="0.25">
      <c r="A37" s="15" t="s">
        <v>124</v>
      </c>
      <c r="B37" s="9" t="s">
        <v>37</v>
      </c>
      <c r="C37" s="9" t="s">
        <v>125</v>
      </c>
      <c r="D37" s="9" t="s">
        <v>24</v>
      </c>
      <c r="E37" s="15" t="s">
        <v>65</v>
      </c>
      <c r="F37" s="15" t="s">
        <v>57</v>
      </c>
      <c r="G37" s="16">
        <f>=IF(F37="Completed", 1, IF(F37="In Progress", 0.5, IF(F37="Review", 0.8, 0)))</f>
      </c>
      <c r="H37" s="15" t="s">
        <v>26</v>
      </c>
      <c r="I37" s="15" t="s">
        <v>86</v>
      </c>
      <c r="J37" s="15" t="s">
        <v>13</v>
      </c>
      <c r="K37" s="15" t="s">
        <v>13</v>
      </c>
      <c r="L37" s="9" t="s">
        <v>126</v>
      </c>
    </row>
    <row r="38" spans="1:12" x14ac:dyDescent="0.25">
      <c r="A38" s="13" t="s">
        <v>127</v>
      </c>
      <c r="B38" s="6" t="s">
        <v>28</v>
      </c>
      <c r="C38" s="6" t="s">
        <v>128</v>
      </c>
      <c r="D38" s="6" t="s">
        <v>27</v>
      </c>
      <c r="E38" s="13" t="s">
        <v>56</v>
      </c>
      <c r="F38" s="13" t="s">
        <v>57</v>
      </c>
      <c r="G38" s="14">
        <f>=IF(F38="Completed", 1, IF(F38="In Progress", 0.5, IF(F38="Review", 0.8, 0)))</f>
      </c>
      <c r="H38" s="13" t="s">
        <v>29</v>
      </c>
      <c r="I38" s="13" t="s">
        <v>108</v>
      </c>
      <c r="J38" s="13" t="s">
        <v>13</v>
      </c>
      <c r="K38" s="13" t="s">
        <v>13</v>
      </c>
      <c r="L38" s="6" t="s">
        <v>129</v>
      </c>
    </row>
    <row r="39" spans="1:12" x14ac:dyDescent="0.25">
      <c r="A39" s="15" t="s">
        <v>130</v>
      </c>
      <c r="B39" s="9" t="s">
        <v>22</v>
      </c>
      <c r="C39" s="9" t="s">
        <v>131</v>
      </c>
      <c r="D39" s="9" t="s">
        <v>30</v>
      </c>
      <c r="E39" s="15" t="s">
        <v>56</v>
      </c>
      <c r="F39" s="15" t="s">
        <v>57</v>
      </c>
      <c r="G39" s="16">
        <f>=IF(F39="Completed", 1, IF(F39="In Progress", 0.5, IF(F39="Review", 0.8, 0)))</f>
      </c>
      <c r="H39" s="15" t="s">
        <v>29</v>
      </c>
      <c r="I39" s="15" t="s">
        <v>132</v>
      </c>
      <c r="J39" s="15" t="s">
        <v>13</v>
      </c>
      <c r="K39" s="15" t="s">
        <v>13</v>
      </c>
      <c r="L39" s="9" t="s">
        <v>133</v>
      </c>
    </row>
    <row r="40" spans="1:12" x14ac:dyDescent="0.25">
      <c r="A40" s="13" t="s">
        <v>134</v>
      </c>
      <c r="B40" s="6" t="s">
        <v>25</v>
      </c>
      <c r="C40" s="6" t="s">
        <v>135</v>
      </c>
      <c r="D40" s="6" t="s">
        <v>24</v>
      </c>
      <c r="E40" s="13" t="s">
        <v>56</v>
      </c>
      <c r="F40" s="13" t="s">
        <v>57</v>
      </c>
      <c r="G40" s="14">
        <f>=IF(F40="Completed", 1, IF(F40="In Progress", 0.5, IF(F40="Review", 0.8, 0)))</f>
      </c>
      <c r="H40" s="13" t="s">
        <v>29</v>
      </c>
      <c r="I40" s="13" t="s">
        <v>136</v>
      </c>
      <c r="J40" s="13" t="s">
        <v>13</v>
      </c>
      <c r="K40" s="13" t="s">
        <v>13</v>
      </c>
      <c r="L40" s="6" t="s">
        <v>137</v>
      </c>
    </row>
    <row r="41" spans="1:12" x14ac:dyDescent="0.25">
      <c r="A41" s="15" t="s">
        <v>138</v>
      </c>
      <c r="B41" s="9" t="s">
        <v>37</v>
      </c>
      <c r="C41" s="9" t="s">
        <v>139</v>
      </c>
      <c r="D41" s="9" t="s">
        <v>21</v>
      </c>
      <c r="E41" s="15" t="s">
        <v>65</v>
      </c>
      <c r="F41" s="15" t="s">
        <v>57</v>
      </c>
      <c r="G41" s="16">
        <f>=IF(F41="Completed", 1, IF(F41="In Progress", 0.5, IF(F41="Review", 0.8, 0)))</f>
      </c>
      <c r="H41" s="15" t="s">
        <v>29</v>
      </c>
      <c r="I41" s="15" t="s">
        <v>121</v>
      </c>
      <c r="J41" s="15" t="s">
        <v>13</v>
      </c>
      <c r="K41" s="15" t="s">
        <v>13</v>
      </c>
      <c r="L41" s="9" t="s">
        <v>140</v>
      </c>
    </row>
    <row r="42" spans="1:12" x14ac:dyDescent="0.25">
      <c r="A42" s="13" t="s">
        <v>141</v>
      </c>
      <c r="B42" s="6" t="s">
        <v>28</v>
      </c>
      <c r="C42" s="6" t="s">
        <v>142</v>
      </c>
      <c r="D42" s="6" t="s">
        <v>27</v>
      </c>
      <c r="E42" s="13" t="s">
        <v>65</v>
      </c>
      <c r="F42" s="13" t="s">
        <v>57</v>
      </c>
      <c r="G42" s="14">
        <f>=IF(F42="Completed", 1, IF(F42="In Progress", 0.5, IF(F42="Review", 0.8, 0)))</f>
      </c>
      <c r="H42" s="13" t="s">
        <v>32</v>
      </c>
      <c r="I42" s="13" t="s">
        <v>127</v>
      </c>
      <c r="J42" s="13" t="s">
        <v>13</v>
      </c>
      <c r="K42" s="13" t="s">
        <v>13</v>
      </c>
      <c r="L42" s="6" t="s">
        <v>143</v>
      </c>
    </row>
    <row r="43" spans="1:12" x14ac:dyDescent="0.25">
      <c r="A43" s="15" t="s">
        <v>144</v>
      </c>
      <c r="B43" s="9" t="s">
        <v>22</v>
      </c>
      <c r="C43" s="9" t="s">
        <v>145</v>
      </c>
      <c r="D43" s="9" t="s">
        <v>30</v>
      </c>
      <c r="E43" s="15" t="s">
        <v>65</v>
      </c>
      <c r="F43" s="15" t="s">
        <v>57</v>
      </c>
      <c r="G43" s="16">
        <f>=IF(F43="Completed", 1, IF(F43="In Progress", 0.5, IF(F43="Review", 0.8, 0)))</f>
      </c>
      <c r="H43" s="15" t="s">
        <v>32</v>
      </c>
      <c r="I43" s="15" t="s">
        <v>146</v>
      </c>
      <c r="J43" s="15" t="s">
        <v>13</v>
      </c>
      <c r="K43" s="15" t="s">
        <v>13</v>
      </c>
      <c r="L43" s="9" t="s">
        <v>147</v>
      </c>
    </row>
    <row r="44" spans="1:12" x14ac:dyDescent="0.25">
      <c r="A44" s="13" t="s">
        <v>148</v>
      </c>
      <c r="B44" s="6" t="s">
        <v>25</v>
      </c>
      <c r="C44" s="6" t="s">
        <v>149</v>
      </c>
      <c r="D44" s="6" t="s">
        <v>24</v>
      </c>
      <c r="E44" s="13" t="s">
        <v>65</v>
      </c>
      <c r="F44" s="13" t="s">
        <v>57</v>
      </c>
      <c r="G44" s="14">
        <f>=IF(F44="Completed", 1, IF(F44="In Progress", 0.5, IF(F44="Review", 0.8, 0)))</f>
      </c>
      <c r="H44" s="13" t="s">
        <v>32</v>
      </c>
      <c r="I44" s="13" t="s">
        <v>134</v>
      </c>
      <c r="J44" s="13" t="s">
        <v>13</v>
      </c>
      <c r="K44" s="13" t="s">
        <v>13</v>
      </c>
      <c r="L44" s="6" t="s">
        <v>150</v>
      </c>
    </row>
    <row r="45" spans="1:12" x14ac:dyDescent="0.25">
      <c r="A45" s="15" t="s">
        <v>151</v>
      </c>
      <c r="B45" s="9" t="s">
        <v>37</v>
      </c>
      <c r="C45" s="9" t="s">
        <v>152</v>
      </c>
      <c r="D45" s="9" t="s">
        <v>33</v>
      </c>
      <c r="E45" s="15" t="s">
        <v>65</v>
      </c>
      <c r="F45" s="15" t="s">
        <v>57</v>
      </c>
      <c r="G45" s="16">
        <f>=IF(F45="Completed", 1, IF(F45="In Progress", 0.5, IF(F45="Review", 0.8, 0)))</f>
      </c>
      <c r="H45" s="15" t="s">
        <v>32</v>
      </c>
      <c r="I45" s="15" t="s">
        <v>134</v>
      </c>
      <c r="J45" s="15" t="s">
        <v>13</v>
      </c>
      <c r="K45" s="15" t="s">
        <v>13</v>
      </c>
      <c r="L45" s="9" t="s">
        <v>153</v>
      </c>
    </row>
    <row r="46" spans="1:12" x14ac:dyDescent="0.25">
      <c r="A46" s="13" t="s">
        <v>154</v>
      </c>
      <c r="B46" s="6" t="s">
        <v>28</v>
      </c>
      <c r="C46" s="6" t="s">
        <v>155</v>
      </c>
      <c r="D46" s="6" t="s">
        <v>27</v>
      </c>
      <c r="E46" s="13" t="s">
        <v>56</v>
      </c>
      <c r="F46" s="13" t="s">
        <v>57</v>
      </c>
      <c r="G46" s="14">
        <f>=IF(F46="Completed", 1, IF(F46="In Progress", 0.5, IF(F46="Review", 0.8, 0)))</f>
      </c>
      <c r="H46" s="13" t="s">
        <v>35</v>
      </c>
      <c r="I46" s="13" t="s">
        <v>127</v>
      </c>
      <c r="J46" s="13" t="s">
        <v>13</v>
      </c>
      <c r="K46" s="13" t="s">
        <v>13</v>
      </c>
      <c r="L46" s="6" t="s">
        <v>156</v>
      </c>
    </row>
    <row r="47" spans="1:12" x14ac:dyDescent="0.25">
      <c r="A47" s="15" t="s">
        <v>157</v>
      </c>
      <c r="B47" s="9" t="s">
        <v>31</v>
      </c>
      <c r="C47" s="9" t="s">
        <v>158</v>
      </c>
      <c r="D47" s="9" t="s">
        <v>36</v>
      </c>
      <c r="E47" s="15" t="s">
        <v>69</v>
      </c>
      <c r="F47" s="15" t="s">
        <v>57</v>
      </c>
      <c r="G47" s="16">
        <f>=IF(F47="Completed", 1, IF(F47="In Progress", 0.5, IF(F47="Review", 0.8, 0)))</f>
      </c>
      <c r="H47" s="15" t="s">
        <v>35</v>
      </c>
      <c r="I47" s="15" t="s">
        <v>58</v>
      </c>
      <c r="J47" s="15" t="s">
        <v>13</v>
      </c>
      <c r="K47" s="15" t="s">
        <v>13</v>
      </c>
      <c r="L47" s="9" t="s">
        <v>159</v>
      </c>
    </row>
    <row r="48" spans="1:12" x14ac:dyDescent="0.25">
      <c r="A48" s="13" t="s">
        <v>160</v>
      </c>
      <c r="B48" s="6" t="s">
        <v>31</v>
      </c>
      <c r="C48" s="6" t="s">
        <v>161</v>
      </c>
      <c r="D48" s="6" t="s">
        <v>36</v>
      </c>
      <c r="E48" s="13" t="s">
        <v>56</v>
      </c>
      <c r="F48" s="13" t="s">
        <v>57</v>
      </c>
      <c r="G48" s="14">
        <f>=IF(F48="Completed", 1, IF(F48="In Progress", 0.5, IF(F48="Review", 0.8, 0)))</f>
      </c>
      <c r="H48" s="13" t="s">
        <v>35</v>
      </c>
      <c r="I48" s="13" t="s">
        <v>154</v>
      </c>
      <c r="J48" s="13" t="s">
        <v>13</v>
      </c>
      <c r="K48" s="13" t="s">
        <v>13</v>
      </c>
      <c r="L48" s="6" t="s">
        <v>162</v>
      </c>
    </row>
    <row r="49" spans="1:12" x14ac:dyDescent="0.25">
      <c r="A49" s="15" t="s">
        <v>163</v>
      </c>
      <c r="B49" s="9" t="s">
        <v>22</v>
      </c>
      <c r="C49" s="9" t="s">
        <v>164</v>
      </c>
      <c r="D49" s="9" t="s">
        <v>30</v>
      </c>
      <c r="E49" s="15" t="s">
        <v>56</v>
      </c>
      <c r="F49" s="15" t="s">
        <v>57</v>
      </c>
      <c r="G49" s="16">
        <f>=IF(F49="Completed", 1, IF(F49="In Progress", 0.5, IF(F49="Review", 0.8, 0)))</f>
      </c>
      <c r="H49" s="15" t="s">
        <v>35</v>
      </c>
      <c r="I49" s="15" t="s">
        <v>165</v>
      </c>
      <c r="J49" s="15" t="s">
        <v>13</v>
      </c>
      <c r="K49" s="15" t="s">
        <v>13</v>
      </c>
      <c r="L49" s="9" t="s">
        <v>166</v>
      </c>
    </row>
    <row r="50" spans="1:12" x14ac:dyDescent="0.25">
      <c r="A50" s="13" t="s">
        <v>167</v>
      </c>
      <c r="B50" s="6" t="s">
        <v>25</v>
      </c>
      <c r="C50" s="6" t="s">
        <v>168</v>
      </c>
      <c r="D50" s="6" t="s">
        <v>24</v>
      </c>
      <c r="E50" s="13" t="s">
        <v>56</v>
      </c>
      <c r="F50" s="13" t="s">
        <v>57</v>
      </c>
      <c r="G50" s="14">
        <f>=IF(F50="Completed", 1, IF(F50="In Progress", 0.5, IF(F50="Review", 0.8, 0)))</f>
      </c>
      <c r="H50" s="13" t="s">
        <v>35</v>
      </c>
      <c r="I50" s="13" t="s">
        <v>169</v>
      </c>
      <c r="J50" s="13" t="s">
        <v>13</v>
      </c>
      <c r="K50" s="13" t="s">
        <v>13</v>
      </c>
      <c r="L50" s="6" t="s">
        <v>170</v>
      </c>
    </row>
    <row r="51" spans="1:12" x14ac:dyDescent="0.25">
      <c r="A51" s="15" t="s">
        <v>171</v>
      </c>
      <c r="B51" s="9" t="s">
        <v>34</v>
      </c>
      <c r="C51" s="9" t="s">
        <v>172</v>
      </c>
      <c r="D51" s="9" t="s">
        <v>33</v>
      </c>
      <c r="E51" s="15" t="s">
        <v>65</v>
      </c>
      <c r="F51" s="15" t="s">
        <v>57</v>
      </c>
      <c r="G51" s="16">
        <f>=IF(F51="Completed", 1, IF(F51="In Progress", 0.5, IF(F51="Review", 0.8, 0)))</f>
      </c>
      <c r="H51" s="15" t="s">
        <v>35</v>
      </c>
      <c r="I51" s="15" t="s">
        <v>58</v>
      </c>
      <c r="J51" s="15" t="s">
        <v>13</v>
      </c>
      <c r="K51" s="15" t="s">
        <v>13</v>
      </c>
      <c r="L51" s="9" t="s">
        <v>173</v>
      </c>
    </row>
    <row r="52" spans="1:12" x14ac:dyDescent="0.25">
      <c r="A52" s="13" t="s">
        <v>174</v>
      </c>
      <c r="B52" s="6" t="s">
        <v>34</v>
      </c>
      <c r="C52" s="6" t="s">
        <v>175</v>
      </c>
      <c r="D52" s="6" t="s">
        <v>33</v>
      </c>
      <c r="E52" s="13" t="s">
        <v>56</v>
      </c>
      <c r="F52" s="13" t="s">
        <v>57</v>
      </c>
      <c r="G52" s="14">
        <f>=IF(F52="Completed", 1, IF(F52="In Progress", 0.5, IF(F52="Review", 0.8, 0)))</f>
      </c>
      <c r="H52" s="13" t="s">
        <v>35</v>
      </c>
      <c r="I52" s="13" t="s">
        <v>157</v>
      </c>
      <c r="J52" s="13" t="s">
        <v>13</v>
      </c>
      <c r="K52" s="13" t="s">
        <v>13</v>
      </c>
      <c r="L52" s="6" t="s">
        <v>176</v>
      </c>
    </row>
    <row r="53" spans="1:12" x14ac:dyDescent="0.25">
      <c r="A53" s="15" t="s">
        <v>177</v>
      </c>
      <c r="B53" s="9" t="s">
        <v>34</v>
      </c>
      <c r="C53" s="9" t="s">
        <v>178</v>
      </c>
      <c r="D53" s="9" t="s">
        <v>33</v>
      </c>
      <c r="E53" s="15" t="s">
        <v>65</v>
      </c>
      <c r="F53" s="15" t="s">
        <v>57</v>
      </c>
      <c r="G53" s="16">
        <f>=IF(F53="Completed", 1, IF(F53="In Progress", 0.5, IF(F53="Review", 0.8, 0)))</f>
      </c>
      <c r="H53" s="15" t="s">
        <v>35</v>
      </c>
      <c r="I53" s="15" t="s">
        <v>179</v>
      </c>
      <c r="J53" s="15" t="s">
        <v>13</v>
      </c>
      <c r="K53" s="15" t="s">
        <v>13</v>
      </c>
      <c r="L53" s="9" t="s">
        <v>180</v>
      </c>
    </row>
    <row r="54" spans="1:12" x14ac:dyDescent="0.25">
      <c r="A54" s="13" t="s">
        <v>181</v>
      </c>
      <c r="B54" s="6" t="s">
        <v>31</v>
      </c>
      <c r="C54" s="6" t="s">
        <v>182</v>
      </c>
      <c r="D54" s="6" t="s">
        <v>36</v>
      </c>
      <c r="E54" s="13" t="s">
        <v>65</v>
      </c>
      <c r="F54" s="13" t="s">
        <v>57</v>
      </c>
      <c r="G54" s="14">
        <f>=IF(F54="Completed", 1, IF(F54="In Progress", 0.5, IF(F54="Review", 0.8, 0)))</f>
      </c>
      <c r="H54" s="13" t="s">
        <v>38</v>
      </c>
      <c r="I54" s="13" t="s">
        <v>58</v>
      </c>
      <c r="J54" s="13" t="s">
        <v>13</v>
      </c>
      <c r="K54" s="13" t="s">
        <v>13</v>
      </c>
      <c r="L54" s="6" t="s">
        <v>183</v>
      </c>
    </row>
    <row r="55" spans="1:12" x14ac:dyDescent="0.25">
      <c r="A55" s="15" t="s">
        <v>184</v>
      </c>
      <c r="B55" s="9" t="s">
        <v>22</v>
      </c>
      <c r="C55" s="9" t="s">
        <v>185</v>
      </c>
      <c r="D55" s="9" t="s">
        <v>30</v>
      </c>
      <c r="E55" s="15" t="s">
        <v>65</v>
      </c>
      <c r="F55" s="15" t="s">
        <v>57</v>
      </c>
      <c r="G55" s="16">
        <f>=IF(F55="Completed", 1, IF(F55="In Progress", 0.5, IF(F55="Review", 0.8, 0)))</f>
      </c>
      <c r="H55" s="15" t="s">
        <v>38</v>
      </c>
      <c r="I55" s="15" t="s">
        <v>186</v>
      </c>
      <c r="J55" s="15" t="s">
        <v>13</v>
      </c>
      <c r="K55" s="15" t="s">
        <v>13</v>
      </c>
      <c r="L55" s="9" t="s">
        <v>187</v>
      </c>
    </row>
    <row r="56" spans="1:12" x14ac:dyDescent="0.25">
      <c r="A56" s="13" t="s">
        <v>188</v>
      </c>
      <c r="B56" s="6" t="s">
        <v>25</v>
      </c>
      <c r="C56" s="6" t="s">
        <v>189</v>
      </c>
      <c r="D56" s="6" t="s">
        <v>24</v>
      </c>
      <c r="E56" s="13" t="s">
        <v>65</v>
      </c>
      <c r="F56" s="13" t="s">
        <v>57</v>
      </c>
      <c r="G56" s="14">
        <f>=IF(F56="Completed", 1, IF(F56="In Progress", 0.5, IF(F56="Review", 0.8, 0)))</f>
      </c>
      <c r="H56" s="13" t="s">
        <v>38</v>
      </c>
      <c r="I56" s="13" t="s">
        <v>167</v>
      </c>
      <c r="J56" s="13" t="s">
        <v>13</v>
      </c>
      <c r="K56" s="13" t="s">
        <v>13</v>
      </c>
      <c r="L56" s="6" t="s">
        <v>190</v>
      </c>
    </row>
    <row r="57" spans="1:12" x14ac:dyDescent="0.25">
      <c r="A57" s="15" t="s">
        <v>191</v>
      </c>
      <c r="B57" s="9" t="s">
        <v>37</v>
      </c>
      <c r="C57" s="9" t="s">
        <v>192</v>
      </c>
      <c r="D57" s="9" t="s">
        <v>21</v>
      </c>
      <c r="E57" s="15" t="s">
        <v>65</v>
      </c>
      <c r="F57" s="15" t="s">
        <v>57</v>
      </c>
      <c r="G57" s="16">
        <f>=IF(F57="Completed", 1, IF(F57="In Progress", 0.5, IF(F57="Review", 0.8, 0)))</f>
      </c>
      <c r="H57" s="15" t="s">
        <v>38</v>
      </c>
      <c r="I57" s="15" t="s">
        <v>138</v>
      </c>
      <c r="J57" s="15" t="s">
        <v>13</v>
      </c>
      <c r="K57" s="15" t="s">
        <v>13</v>
      </c>
      <c r="L57" s="9" t="s">
        <v>193</v>
      </c>
    </row>
    <row r="58" spans="1:12" x14ac:dyDescent="0.25">
      <c r="A58" s="13" t="s">
        <v>179</v>
      </c>
      <c r="B58" s="6" t="s">
        <v>37</v>
      </c>
      <c r="C58" s="6" t="s">
        <v>194</v>
      </c>
      <c r="D58" s="6" t="s">
        <v>24</v>
      </c>
      <c r="E58" s="13" t="s">
        <v>65</v>
      </c>
      <c r="F58" s="13" t="s">
        <v>57</v>
      </c>
      <c r="G58" s="14">
        <f>=IF(F58="Completed", 1, IF(F58="In Progress", 0.5, IF(F58="Review", 0.8, 0)))</f>
      </c>
      <c r="H58" s="13" t="s">
        <v>38</v>
      </c>
      <c r="I58" s="13" t="s">
        <v>167</v>
      </c>
      <c r="J58" s="13" t="s">
        <v>13</v>
      </c>
      <c r="K58" s="13" t="s">
        <v>13</v>
      </c>
      <c r="L58" s="6" t="s">
        <v>195</v>
      </c>
    </row>
    <row r="59" spans="1:12" x14ac:dyDescent="0.25">
      <c r="A59" s="15" t="s">
        <v>196</v>
      </c>
      <c r="B59" s="9" t="s">
        <v>34</v>
      </c>
      <c r="C59" s="9" t="s">
        <v>197</v>
      </c>
      <c r="D59" s="9" t="s">
        <v>33</v>
      </c>
      <c r="E59" s="15" t="s">
        <v>56</v>
      </c>
      <c r="F59" s="15" t="s">
        <v>57</v>
      </c>
      <c r="G59" s="16">
        <f>=IF(F59="Completed", 1, IF(F59="In Progress", 0.5, IF(F59="Review", 0.8, 0)))</f>
      </c>
      <c r="H59" s="15" t="s">
        <v>38</v>
      </c>
      <c r="I59" s="15" t="s">
        <v>198</v>
      </c>
      <c r="J59" s="15" t="s">
        <v>13</v>
      </c>
      <c r="K59" s="15" t="s">
        <v>13</v>
      </c>
      <c r="L59" s="9" t="s">
        <v>199</v>
      </c>
    </row>
    <row r="60" spans="1:12" x14ac:dyDescent="0.25">
      <c r="A60" s="13" t="s">
        <v>200</v>
      </c>
      <c r="B60" s="6" t="s">
        <v>34</v>
      </c>
      <c r="C60" s="6" t="s">
        <v>201</v>
      </c>
      <c r="D60" s="6" t="s">
        <v>33</v>
      </c>
      <c r="E60" s="13" t="s">
        <v>56</v>
      </c>
      <c r="F60" s="13" t="s">
        <v>57</v>
      </c>
      <c r="G60" s="14">
        <f>=IF(F60="Completed", 1, IF(F60="In Progress", 0.5, IF(F60="Review", 0.8, 0)))</f>
      </c>
      <c r="H60" s="13" t="s">
        <v>38</v>
      </c>
      <c r="I60" s="13" t="s">
        <v>174</v>
      </c>
      <c r="J60" s="13" t="s">
        <v>13</v>
      </c>
      <c r="K60" s="13" t="s">
        <v>13</v>
      </c>
      <c r="L60" s="6" t="s">
        <v>202</v>
      </c>
    </row>
    <row r="61" spans="1:12" x14ac:dyDescent="0.25">
      <c r="A61" s="15" t="s">
        <v>203</v>
      </c>
      <c r="B61" s="9" t="s">
        <v>22</v>
      </c>
      <c r="C61" s="9" t="s">
        <v>204</v>
      </c>
      <c r="D61" s="9" t="s">
        <v>30</v>
      </c>
      <c r="E61" s="15" t="s">
        <v>56</v>
      </c>
      <c r="F61" s="15" t="s">
        <v>57</v>
      </c>
      <c r="G61" s="16">
        <f>=IF(F61="Completed", 1, IF(F61="In Progress", 0.5, IF(F61="Review", 0.8, 0)))</f>
      </c>
      <c r="H61" s="15" t="s">
        <v>40</v>
      </c>
      <c r="I61" s="15" t="s">
        <v>105</v>
      </c>
      <c r="J61" s="15" t="s">
        <v>13</v>
      </c>
      <c r="K61" s="15" t="s">
        <v>13</v>
      </c>
      <c r="L61" s="9" t="s">
        <v>205</v>
      </c>
    </row>
    <row r="62" spans="1:12" x14ac:dyDescent="0.25">
      <c r="A62" s="13" t="s">
        <v>206</v>
      </c>
      <c r="B62" s="6" t="s">
        <v>22</v>
      </c>
      <c r="C62" s="6" t="s">
        <v>207</v>
      </c>
      <c r="D62" s="6" t="s">
        <v>30</v>
      </c>
      <c r="E62" s="13" t="s">
        <v>56</v>
      </c>
      <c r="F62" s="13" t="s">
        <v>57</v>
      </c>
      <c r="G62" s="14">
        <f>=IF(F62="Completed", 1, IF(F62="In Progress", 0.5, IF(F62="Review", 0.8, 0)))</f>
      </c>
      <c r="H62" s="13" t="s">
        <v>40</v>
      </c>
      <c r="I62" s="13" t="s">
        <v>105</v>
      </c>
      <c r="J62" s="13" t="s">
        <v>13</v>
      </c>
      <c r="K62" s="13" t="s">
        <v>13</v>
      </c>
      <c r="L62" s="6" t="s">
        <v>208</v>
      </c>
    </row>
    <row r="63" spans="1:12" x14ac:dyDescent="0.25">
      <c r="A63" s="15" t="s">
        <v>209</v>
      </c>
      <c r="B63" s="9" t="s">
        <v>31</v>
      </c>
      <c r="C63" s="9" t="s">
        <v>210</v>
      </c>
      <c r="D63" s="9" t="s">
        <v>36</v>
      </c>
      <c r="E63" s="15" t="s">
        <v>65</v>
      </c>
      <c r="F63" s="15" t="s">
        <v>57</v>
      </c>
      <c r="G63" s="16">
        <f>=IF(F63="Completed", 1, IF(F63="In Progress", 0.5, IF(F63="Review", 0.8, 0)))</f>
      </c>
      <c r="H63" s="15" t="s">
        <v>40</v>
      </c>
      <c r="I63" s="15" t="s">
        <v>157</v>
      </c>
      <c r="J63" s="15" t="s">
        <v>13</v>
      </c>
      <c r="K63" s="15" t="s">
        <v>13</v>
      </c>
      <c r="L63" s="9" t="s">
        <v>211</v>
      </c>
    </row>
    <row r="64" spans="1:12" x14ac:dyDescent="0.25">
      <c r="A64" s="13" t="s">
        <v>212</v>
      </c>
      <c r="B64" s="6" t="s">
        <v>25</v>
      </c>
      <c r="C64" s="6" t="s">
        <v>213</v>
      </c>
      <c r="D64" s="6" t="s">
        <v>24</v>
      </c>
      <c r="E64" s="13" t="s">
        <v>56</v>
      </c>
      <c r="F64" s="13" t="s">
        <v>57</v>
      </c>
      <c r="G64" s="14">
        <f>=IF(F64="Completed", 1, IF(F64="In Progress", 0.5, IF(F64="Review", 0.8, 0)))</f>
      </c>
      <c r="H64" s="13" t="s">
        <v>40</v>
      </c>
      <c r="I64" s="13" t="s">
        <v>188</v>
      </c>
      <c r="J64" s="13" t="s">
        <v>13</v>
      </c>
      <c r="K64" s="13" t="s">
        <v>13</v>
      </c>
      <c r="L64" s="6" t="s">
        <v>214</v>
      </c>
    </row>
    <row r="65" spans="1:12" x14ac:dyDescent="0.25">
      <c r="A65" s="15" t="s">
        <v>215</v>
      </c>
      <c r="B65" s="9" t="s">
        <v>37</v>
      </c>
      <c r="C65" s="9" t="s">
        <v>216</v>
      </c>
      <c r="D65" s="9" t="s">
        <v>21</v>
      </c>
      <c r="E65" s="15" t="s">
        <v>56</v>
      </c>
      <c r="F65" s="15" t="s">
        <v>57</v>
      </c>
      <c r="G65" s="16">
        <f>=IF(F65="Completed", 1, IF(F65="In Progress", 0.5, IF(F65="Review", 0.8, 0)))</f>
      </c>
      <c r="H65" s="15" t="s">
        <v>40</v>
      </c>
      <c r="I65" s="15" t="s">
        <v>191</v>
      </c>
      <c r="J65" s="15" t="s">
        <v>13</v>
      </c>
      <c r="K65" s="15" t="s">
        <v>13</v>
      </c>
      <c r="L65" s="9" t="s">
        <v>217</v>
      </c>
    </row>
    <row r="66" spans="1:12" x14ac:dyDescent="0.25">
      <c r="A66" s="13" t="s">
        <v>218</v>
      </c>
      <c r="B66" s="6" t="s">
        <v>37</v>
      </c>
      <c r="C66" s="6" t="s">
        <v>219</v>
      </c>
      <c r="D66" s="6" t="s">
        <v>33</v>
      </c>
      <c r="E66" s="13" t="s">
        <v>65</v>
      </c>
      <c r="F66" s="13" t="s">
        <v>57</v>
      </c>
      <c r="G66" s="14">
        <f>=IF(F66="Completed", 1, IF(F66="In Progress", 0.5, IF(F66="Review", 0.8, 0)))</f>
      </c>
      <c r="H66" s="13" t="s">
        <v>40</v>
      </c>
      <c r="I66" s="13" t="s">
        <v>212</v>
      </c>
      <c r="J66" s="13" t="s">
        <v>13</v>
      </c>
      <c r="K66" s="13" t="s">
        <v>13</v>
      </c>
      <c r="L66" s="6" t="s">
        <v>220</v>
      </c>
    </row>
    <row r="67" spans="1:12" x14ac:dyDescent="0.25">
      <c r="A67" s="15" t="s">
        <v>221</v>
      </c>
      <c r="B67" s="9" t="s">
        <v>34</v>
      </c>
      <c r="C67" s="9" t="s">
        <v>222</v>
      </c>
      <c r="D67" s="9" t="s">
        <v>33</v>
      </c>
      <c r="E67" s="15" t="s">
        <v>65</v>
      </c>
      <c r="F67" s="15" t="s">
        <v>57</v>
      </c>
      <c r="G67" s="16">
        <f>=IF(F67="Completed", 1, IF(F67="In Progress", 0.5, IF(F67="Review", 0.8, 0)))</f>
      </c>
      <c r="H67" s="15" t="s">
        <v>40</v>
      </c>
      <c r="I67" s="15" t="s">
        <v>177</v>
      </c>
      <c r="J67" s="15" t="s">
        <v>13</v>
      </c>
      <c r="K67" s="15" t="s">
        <v>13</v>
      </c>
      <c r="L67" s="9" t="s">
        <v>223</v>
      </c>
    </row>
    <row r="68" spans="1:12" x14ac:dyDescent="0.25">
      <c r="A68" s="13" t="s">
        <v>224</v>
      </c>
      <c r="B68" s="6" t="s">
        <v>34</v>
      </c>
      <c r="C68" s="6" t="s">
        <v>225</v>
      </c>
      <c r="D68" s="6" t="s">
        <v>33</v>
      </c>
      <c r="E68" s="13" t="s">
        <v>56</v>
      </c>
      <c r="F68" s="13" t="s">
        <v>57</v>
      </c>
      <c r="G68" s="14">
        <f>=IF(F68="Completed", 1, IF(F68="In Progress", 0.5, IF(F68="Review", 0.8, 0)))</f>
      </c>
      <c r="H68" s="13" t="s">
        <v>40</v>
      </c>
      <c r="I68" s="13" t="s">
        <v>226</v>
      </c>
      <c r="J68" s="13" t="s">
        <v>13</v>
      </c>
      <c r="K68" s="13" t="s">
        <v>13</v>
      </c>
      <c r="L68" s="6" t="s">
        <v>227</v>
      </c>
    </row>
    <row r="69" spans="1:12" x14ac:dyDescent="0.25">
      <c r="A69" s="15" t="s">
        <v>228</v>
      </c>
      <c r="B69" s="9" t="s">
        <v>28</v>
      </c>
      <c r="C69" s="9" t="s">
        <v>229</v>
      </c>
      <c r="D69" s="9" t="s">
        <v>27</v>
      </c>
      <c r="E69" s="15" t="s">
        <v>56</v>
      </c>
      <c r="F69" s="15" t="s">
        <v>57</v>
      </c>
      <c r="G69" s="16">
        <f>=IF(F69="Completed", 1, IF(F69="In Progress", 0.5, IF(F69="Review", 0.8, 0)))</f>
      </c>
      <c r="H69" s="15" t="s">
        <v>53</v>
      </c>
      <c r="I69" s="15" t="s">
        <v>154</v>
      </c>
      <c r="J69" s="15" t="s">
        <v>13</v>
      </c>
      <c r="K69" s="15" t="s">
        <v>13</v>
      </c>
      <c r="L69" s="9" t="s">
        <v>230</v>
      </c>
    </row>
    <row r="70" spans="1:12" x14ac:dyDescent="0.25">
      <c r="A70" s="13" t="s">
        <v>231</v>
      </c>
      <c r="B70" s="6" t="s">
        <v>37</v>
      </c>
      <c r="C70" s="6" t="s">
        <v>232</v>
      </c>
      <c r="D70" s="6" t="s">
        <v>21</v>
      </c>
      <c r="E70" s="13" t="s">
        <v>56</v>
      </c>
      <c r="F70" s="13" t="s">
        <v>57</v>
      </c>
      <c r="G70" s="14">
        <f>=IF(F70="Completed", 1, IF(F70="In Progress", 0.5, IF(F70="Review", 0.8, 0)))</f>
      </c>
      <c r="H70" s="13" t="s">
        <v>53</v>
      </c>
      <c r="I70" s="13" t="s">
        <v>58</v>
      </c>
      <c r="J70" s="13" t="s">
        <v>13</v>
      </c>
      <c r="K70" s="13" t="s">
        <v>13</v>
      </c>
      <c r="L70" s="6" t="s">
        <v>233</v>
      </c>
    </row>
    <row r="71" spans="1:12" x14ac:dyDescent="0.25">
      <c r="A71" s="15" t="s">
        <v>234</v>
      </c>
      <c r="B71" s="9" t="s">
        <v>39</v>
      </c>
      <c r="C71" s="9" t="s">
        <v>235</v>
      </c>
      <c r="D71" s="9" t="s">
        <v>24</v>
      </c>
      <c r="E71" s="15" t="s">
        <v>69</v>
      </c>
      <c r="F71" s="15" t="s">
        <v>57</v>
      </c>
      <c r="G71" s="16">
        <f>=IF(F71="Completed", 1, IF(F71="In Progress", 0.5, IF(F71="Review", 0.8, 0)))</f>
      </c>
      <c r="H71" s="15" t="s">
        <v>53</v>
      </c>
      <c r="I71" s="15" t="s">
        <v>58</v>
      </c>
      <c r="J71" s="15" t="s">
        <v>13</v>
      </c>
      <c r="K71" s="15" t="s">
        <v>13</v>
      </c>
      <c r="L71" s="9" t="s">
        <v>236</v>
      </c>
    </row>
  </sheetData>
  <autoFilter ref="A15:L71"/>
  <mergeCells count="16">
    <mergeCell ref="A1:L1"/>
    <mergeCell ref="A2:B2"/>
    <mergeCell ref="C2:D2"/>
    <mergeCell ref="E2:F2"/>
    <mergeCell ref="G2:H2"/>
    <mergeCell ref="I2:J2"/>
    <mergeCell ref="K2:L2"/>
    <mergeCell ref="A3:B4"/>
    <mergeCell ref="C3:D4"/>
    <mergeCell ref="E3:F4"/>
    <mergeCell ref="G3:H4"/>
    <mergeCell ref="I3:J4"/>
    <mergeCell ref="K3:L4"/>
    <mergeCell ref="A6:F6"/>
    <mergeCell ref="H6:M6"/>
    <mergeCell ref="O6:R6"/>
  </mergeCells>
  <conditionalFormatting sqref="F16:F71">
    <cfRule type="cellIs" dxfId="0" priority="1" operator="equal">
      <formula>"Completed"</formula>
    </cfRule>
    <cfRule type="cellIs" dxfId="1" priority="2" operator="equal">
      <formula>"In Progress"</formula>
    </cfRule>
    <cfRule type="cellIs" dxfId="2" priority="3" operator="equal">
      <formula>"Review"</formula>
    </cfRule>
    <cfRule type="cellIs" dxfId="3" priority="4" operator="equal">
      <formula>"Blocked"</formula>
    </cfRule>
    <cfRule type="cellIs" dxfId="4" priority="5" operator="equal">
      <formula>"Not Started"</formula>
    </cfRule>
  </conditionalFormatting>
  <conditionalFormatting sqref="E16:E71">
    <cfRule type="cellIs" dxfId="5" priority="6" operator="equal">
      <formula>"Critical"</formula>
    </cfRule>
    <cfRule type="cellIs" dxfId="6" priority="7" operator="equal">
      <formula>"High"</formula>
    </cfRule>
    <cfRule type="cellIs" dxfId="7" priority="8" operator="equal">
      <formula>"Medium"</formula>
    </cfRule>
    <cfRule type="cellIs" dxfId="8" priority="9" operator="equal">
      <formula>"Low"</formula>
    </cfRule>
  </conditionalFormatting>
  <dataValidations count="2">
    <dataValidation type="list" allowBlank="1" sqref="E16:E71">
      <formula1>"Critical,High,Medium,Low"</formula1>
    </dataValidation>
    <dataValidation type="list" allowBlank="1" sqref="F16:F7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0"/>
  <sheetFormatPr defaultRowHeight="15" outlineLevelRow="0" outlineLevelCol="0" x14ac:dyDescent="55"/>
  <sheetData>
    <row r="1" ht="30" customHeight="1" spans="1:15" x14ac:dyDescent="0.25">
      <c r="A1" s="17" t="s">
        <v>237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3" spans="2:9" x14ac:dyDescent="0.25">
      <c r="B3" s="18" t="s">
        <v>238</v>
      </c>
      <c r="C3" s="19"/>
      <c r="E3" s="18" t="s">
        <v>239</v>
      </c>
      <c r="F3" s="19"/>
      <c r="H3" s="18" t="s">
        <v>240</v>
      </c>
      <c r="I3" s="19"/>
    </row>
    <row r="5" ht="24" customHeight="1" spans="1:15" x14ac:dyDescent="0.25">
      <c r="A5" s="20" t="s">
        <v>241</v>
      </c>
      <c r="B5" s="20"/>
      <c r="C5" s="20"/>
      <c r="E5" s="21" t="s">
        <v>242</v>
      </c>
      <c r="F5" s="21"/>
      <c r="G5" s="21"/>
      <c r="I5" s="22" t="s">
        <v>243</v>
      </c>
      <c r="J5" s="22"/>
      <c r="K5" s="22"/>
      <c r="M5" s="23" t="s">
        <v>244</v>
      </c>
      <c r="N5" s="23"/>
      <c r="O5" s="23"/>
    </row>
    <row r="6" ht="18" customHeight="1" spans="1:15" x14ac:dyDescent="0.25">
      <c r="A6" s="24" t="s">
        <v>41</v>
      </c>
      <c r="B6" s="24" t="s">
        <v>43</v>
      </c>
      <c r="C6" s="24" t="s">
        <v>44</v>
      </c>
      <c r="E6" s="24" t="s">
        <v>41</v>
      </c>
      <c r="F6" s="24" t="s">
        <v>43</v>
      </c>
      <c r="G6" s="24" t="s">
        <v>44</v>
      </c>
      <c r="I6" s="24" t="s">
        <v>41</v>
      </c>
      <c r="J6" s="24" t="s">
        <v>43</v>
      </c>
      <c r="K6" s="24" t="s">
        <v>44</v>
      </c>
      <c r="M6" s="24" t="s">
        <v>41</v>
      </c>
      <c r="N6" s="24" t="s">
        <v>43</v>
      </c>
      <c r="O6" s="24" t="s">
        <v>44</v>
      </c>
    </row>
    <row r="7" spans="1:15" x14ac:dyDescent="0.25">
      <c r="A7" s="25">
        <f>=FILTER(Dashboard!$A$16:$A$100, (Dashboard!$F$16:$F$100="Not Started") * (IF($C$3="", 1, Dashboard!$D$16:$D$100=$C$3)) * (IF($F$3="", 1, Dashboard!$B$16:$B$100=$F$3)) * (IF($I$3="", 1, Dashboard!$H$16:$H$100=$I$3)), "No Tasks")</f>
      </c>
      <c r="B7" s="26">
        <f>=FILTER(Dashboard!$C$16:$C$100, (Dashboard!$F$16:$F$100="Not Started") * (IF($C$3="", 1, Dashboard!$D$16:$D$100=$C$3)) * (IF($F$3="", 1, Dashboard!$B$16:$B$100=$F$3)) * (IF($I$3="", 1, Dashboard!$H$16:$H$100=$I$3)), "")</f>
      </c>
      <c r="C7" s="27">
        <f>=FILTER(Dashboard!$D$16:$D$100, (Dashboard!$F$16:$F$100="Not Started") * (IF($C$3="", 1, Dashboard!$D$16:$D$100=$C$3)) * (IF($F$3="", 1, Dashboard!$B$16:$B$100=$F$3)) * (IF($I$3="", 1, Dashboard!$H$16:$H$100=$I$3)), "")</f>
      </c>
      <c r="E7" s="28">
        <f>=FILTER(Dashboard!$A$16:$A$100, (Dashboard!$F$16:$F$100="In Progress") * (IF($C$3="", 1, Dashboard!$D$16:$D$100=$C$3)) * (IF($F$3="", 1, Dashboard!$B$16:$B$100=$F$3)) * (IF($I$3="", 1, Dashboard!$H$16:$H$100=$I$3)), "No Tasks")</f>
      </c>
      <c r="F7" s="26">
        <f>=FILTER(Dashboard!$C$16:$C$100, (Dashboard!$F$16:$F$100="In Progress") * (IF($C$3="", 1, Dashboard!$D$16:$D$100=$C$3)) * (IF($F$3="", 1, Dashboard!$B$16:$B$100=$F$3)) * (IF($I$3="", 1, Dashboard!$H$16:$H$100=$I$3)), "")</f>
      </c>
      <c r="G7" s="29">
        <f>=FILTER(Dashboard!$D$16:$D$100, (Dashboard!$F$16:$F$100="In Progress") * (IF($C$3="", 1, Dashboard!$D$16:$D$100=$C$3)) * (IF($F$3="", 1, Dashboard!$B$16:$B$100=$F$3)) * (IF($I$3="", 1, Dashboard!$H$16:$H$100=$I$3)), "")</f>
      </c>
      <c r="I7" s="30">
        <f>=FILTER(Dashboard!$A$16:$A$100, (Dashboard!$F$16:$F$100="Review") * (IF($C$3="", 1, Dashboard!$D$16:$D$100=$C$3)) * (IF($F$3="", 1, Dashboard!$B$16:$B$100=$F$3)) * (IF($I$3="", 1, Dashboard!$H$16:$H$100=$I$3)), "No Tasks")</f>
      </c>
      <c r="J7" s="26">
        <f>=FILTER(Dashboard!$C$16:$C$100, (Dashboard!$F$16:$F$100="Review") * (IF($C$3="", 1, Dashboard!$D$16:$D$100=$C$3)) * (IF($F$3="", 1, Dashboard!$B$16:$B$100=$F$3)) * (IF($I$3="", 1, Dashboard!$H$16:$H$100=$I$3)), "")</f>
      </c>
      <c r="K7" s="31">
        <f>=FILTER(Dashboard!$D$16:$D$100, (Dashboard!$F$16:$F$100="Review") * (IF($C$3="", 1, Dashboard!$D$16:$D$100=$C$3)) * (IF($F$3="", 1, Dashboard!$B$16:$B$100=$F$3)) * (IF($I$3="", 1, Dashboard!$H$16:$H$100=$I$3)), "")</f>
      </c>
      <c r="M7" s="32">
        <f>=FILTER(Dashboard!$A$16:$A$100, (Dashboard!$F$16:$F$100="Completed") * (IF($C$3="", 1, Dashboard!$D$16:$D$100=$C$3)) * (IF($F$3="", 1, Dashboard!$B$16:$B$100=$F$3)) * (IF($I$3="", 1, Dashboard!$H$16:$H$100=$I$3)), "No Tasks")</f>
      </c>
      <c r="N7" s="26">
        <f>=FILTER(Dashboard!$C$16:$C$100, (Dashboard!$F$16:$F$100="Completed") * (IF($C$3="", 1, Dashboard!$D$16:$D$100=$C$3)) * (IF($F$3="", 1, Dashboard!$B$16:$B$100=$F$3)) * (IF($I$3="", 1, Dashboard!$H$16:$H$100=$I$3)), "")</f>
      </c>
      <c r="O7" s="33">
        <f>=FILTER(Dashboard!$D$16:$D$100, (Dashboard!$F$16:$F$100="Completed") * (IF($C$3="", 1, Dashboard!$D$16:$D$100=$C$3)) * (IF($F$3="", 1, Dashboard!$B$16:$B$100=$F$3)) * (IF($I$3="", 1, Dashboard!$H$16:$H$100=$I$3)), "")</f>
      </c>
    </row>
    <row r="8" spans="1:15" x14ac:dyDescent="0.25">
      <c r="A8" s="25"/>
      <c r="B8" s="26"/>
      <c r="C8" s="27"/>
      <c r="E8" s="28"/>
      <c r="F8" s="26"/>
      <c r="G8" s="29"/>
      <c r="I8" s="30"/>
      <c r="J8" s="26"/>
      <c r="K8" s="31"/>
      <c r="M8" s="32"/>
      <c r="N8" s="26"/>
      <c r="O8" s="33"/>
    </row>
    <row r="9" spans="1:15" x14ac:dyDescent="0.25">
      <c r="A9" s="25"/>
      <c r="B9" s="26"/>
      <c r="C9" s="27"/>
      <c r="E9" s="28"/>
      <c r="F9" s="26"/>
      <c r="G9" s="29"/>
      <c r="I9" s="30"/>
      <c r="J9" s="26"/>
      <c r="K9" s="31"/>
      <c r="M9" s="32"/>
      <c r="N9" s="26"/>
      <c r="O9" s="33"/>
    </row>
    <row r="10" spans="1:15" x14ac:dyDescent="0.25">
      <c r="A10" s="25"/>
      <c r="B10" s="26"/>
      <c r="C10" s="27"/>
      <c r="E10" s="28"/>
      <c r="F10" s="26"/>
      <c r="G10" s="29"/>
      <c r="I10" s="30"/>
      <c r="J10" s="26"/>
      <c r="K10" s="31"/>
      <c r="M10" s="32"/>
      <c r="N10" s="26"/>
      <c r="O10" s="33"/>
    </row>
    <row r="11" spans="1:15" x14ac:dyDescent="0.25">
      <c r="A11" s="25"/>
      <c r="B11" s="26"/>
      <c r="C11" s="27"/>
      <c r="E11" s="28"/>
      <c r="F11" s="26"/>
      <c r="G11" s="29"/>
      <c r="I11" s="30"/>
      <c r="J11" s="26"/>
      <c r="K11" s="31"/>
      <c r="M11" s="32"/>
      <c r="N11" s="26"/>
      <c r="O11" s="33"/>
    </row>
    <row r="12" spans="1:15" x14ac:dyDescent="0.25">
      <c r="A12" s="25"/>
      <c r="B12" s="26"/>
      <c r="C12" s="27"/>
      <c r="E12" s="28"/>
      <c r="F12" s="26"/>
      <c r="G12" s="29"/>
      <c r="I12" s="30"/>
      <c r="J12" s="26"/>
      <c r="K12" s="31"/>
      <c r="M12" s="32"/>
      <c r="N12" s="26"/>
      <c r="O12" s="33"/>
    </row>
    <row r="13" spans="1:15" x14ac:dyDescent="0.25">
      <c r="A13" s="25"/>
      <c r="B13" s="26"/>
      <c r="C13" s="27"/>
      <c r="E13" s="28"/>
      <c r="F13" s="26"/>
      <c r="G13" s="29"/>
      <c r="I13" s="30"/>
      <c r="J13" s="26"/>
      <c r="K13" s="31"/>
      <c r="M13" s="32"/>
      <c r="N13" s="26"/>
      <c r="O13" s="33"/>
    </row>
    <row r="14" spans="1:15" x14ac:dyDescent="0.25">
      <c r="A14" s="25"/>
      <c r="B14" s="26"/>
      <c r="C14" s="27"/>
      <c r="E14" s="28"/>
      <c r="F14" s="26"/>
      <c r="G14" s="29"/>
      <c r="I14" s="30"/>
      <c r="J14" s="26"/>
      <c r="K14" s="31"/>
      <c r="M14" s="32"/>
      <c r="N14" s="26"/>
      <c r="O14" s="33"/>
    </row>
    <row r="15" spans="1:15" x14ac:dyDescent="0.25">
      <c r="A15" s="25"/>
      <c r="B15" s="26"/>
      <c r="C15" s="27"/>
      <c r="E15" s="28"/>
      <c r="F15" s="26"/>
      <c r="G15" s="29"/>
      <c r="I15" s="30"/>
      <c r="J15" s="26"/>
      <c r="K15" s="31"/>
      <c r="M15" s="32"/>
      <c r="N15" s="26"/>
      <c r="O15" s="33"/>
    </row>
    <row r="16" spans="1:15" x14ac:dyDescent="0.25">
      <c r="A16" s="25"/>
      <c r="B16" s="26"/>
      <c r="C16" s="27"/>
      <c r="E16" s="28"/>
      <c r="F16" s="26"/>
      <c r="G16" s="29"/>
      <c r="I16" s="30"/>
      <c r="J16" s="26"/>
      <c r="K16" s="31"/>
      <c r="M16" s="32"/>
      <c r="N16" s="26"/>
      <c r="O16" s="33"/>
    </row>
    <row r="17" spans="1:15" x14ac:dyDescent="0.25">
      <c r="A17" s="25"/>
      <c r="B17" s="26"/>
      <c r="C17" s="27"/>
      <c r="E17" s="28"/>
      <c r="F17" s="26"/>
      <c r="G17" s="29"/>
      <c r="I17" s="30"/>
      <c r="J17" s="26"/>
      <c r="K17" s="31"/>
      <c r="M17" s="32"/>
      <c r="N17" s="26"/>
      <c r="O17" s="33"/>
    </row>
    <row r="18" spans="1:15" x14ac:dyDescent="0.25">
      <c r="A18" s="25"/>
      <c r="B18" s="26"/>
      <c r="C18" s="27"/>
      <c r="E18" s="28"/>
      <c r="F18" s="26"/>
      <c r="G18" s="29"/>
      <c r="I18" s="30"/>
      <c r="J18" s="26"/>
      <c r="K18" s="31"/>
      <c r="M18" s="32"/>
      <c r="N18" s="26"/>
      <c r="O18" s="33"/>
    </row>
    <row r="19" spans="1:15" x14ac:dyDescent="0.25">
      <c r="A19" s="25"/>
      <c r="B19" s="26"/>
      <c r="C19" s="27"/>
      <c r="E19" s="28"/>
      <c r="F19" s="26"/>
      <c r="G19" s="29"/>
      <c r="I19" s="30"/>
      <c r="J19" s="26"/>
      <c r="K19" s="31"/>
      <c r="M19" s="32"/>
      <c r="N19" s="26"/>
      <c r="O19" s="33"/>
    </row>
    <row r="20" spans="1:15" x14ac:dyDescent="0.25">
      <c r="A20" s="25"/>
      <c r="B20" s="26"/>
      <c r="C20" s="27"/>
      <c r="E20" s="28"/>
      <c r="F20" s="26"/>
      <c r="G20" s="29"/>
      <c r="I20" s="30"/>
      <c r="J20" s="26"/>
      <c r="K20" s="31"/>
      <c r="M20" s="32"/>
      <c r="N20" s="26"/>
      <c r="O20" s="33"/>
    </row>
    <row r="21" spans="1:15" x14ac:dyDescent="0.25">
      <c r="A21" s="25"/>
      <c r="B21" s="26"/>
      <c r="C21" s="27"/>
      <c r="E21" s="28"/>
      <c r="F21" s="26"/>
      <c r="G21" s="29"/>
      <c r="I21" s="30"/>
      <c r="J21" s="26"/>
      <c r="K21" s="31"/>
      <c r="M21" s="32"/>
      <c r="N21" s="26"/>
      <c r="O21" s="33"/>
    </row>
    <row r="22" spans="1:15" x14ac:dyDescent="0.25">
      <c r="A22" s="25"/>
      <c r="B22" s="26"/>
      <c r="C22" s="27"/>
      <c r="E22" s="28"/>
      <c r="F22" s="26"/>
      <c r="G22" s="29"/>
      <c r="I22" s="30"/>
      <c r="J22" s="26"/>
      <c r="K22" s="31"/>
      <c r="M22" s="32"/>
      <c r="N22" s="26"/>
      <c r="O22" s="33"/>
    </row>
    <row r="23" spans="1:15" x14ac:dyDescent="0.25">
      <c r="A23" s="25"/>
      <c r="B23" s="26"/>
      <c r="C23" s="27"/>
      <c r="E23" s="28"/>
      <c r="F23" s="26"/>
      <c r="G23" s="29"/>
      <c r="I23" s="30"/>
      <c r="J23" s="26"/>
      <c r="K23" s="31"/>
      <c r="M23" s="32"/>
      <c r="N23" s="26"/>
      <c r="O23" s="33"/>
    </row>
    <row r="24" spans="1:15" x14ac:dyDescent="0.25">
      <c r="A24" s="25"/>
      <c r="B24" s="26"/>
      <c r="C24" s="27"/>
      <c r="E24" s="28"/>
      <c r="F24" s="26"/>
      <c r="G24" s="29"/>
      <c r="I24" s="30"/>
      <c r="J24" s="26"/>
      <c r="K24" s="31"/>
      <c r="M24" s="32"/>
      <c r="N24" s="26"/>
      <c r="O24" s="33"/>
    </row>
    <row r="25" spans="1:15" x14ac:dyDescent="0.25">
      <c r="A25" s="25"/>
      <c r="B25" s="26"/>
      <c r="C25" s="27"/>
      <c r="E25" s="28"/>
      <c r="F25" s="26"/>
      <c r="G25" s="29"/>
      <c r="I25" s="30"/>
      <c r="J25" s="26"/>
      <c r="K25" s="31"/>
      <c r="M25" s="32"/>
      <c r="N25" s="26"/>
      <c r="O25" s="33"/>
    </row>
    <row r="26" spans="1:15" x14ac:dyDescent="0.25">
      <c r="A26" s="25"/>
      <c r="B26" s="26"/>
      <c r="C26" s="27"/>
      <c r="E26" s="28"/>
      <c r="F26" s="26"/>
      <c r="G26" s="29"/>
      <c r="I26" s="30"/>
      <c r="J26" s="26"/>
      <c r="K26" s="31"/>
      <c r="M26" s="32"/>
      <c r="N26" s="26"/>
      <c r="O26" s="33"/>
    </row>
    <row r="27" spans="1:15" x14ac:dyDescent="0.25">
      <c r="A27" s="25"/>
      <c r="B27" s="26"/>
      <c r="C27" s="27"/>
      <c r="E27" s="28"/>
      <c r="F27" s="26"/>
      <c r="G27" s="29"/>
      <c r="I27" s="30"/>
      <c r="J27" s="26"/>
      <c r="K27" s="31"/>
      <c r="M27" s="32"/>
      <c r="N27" s="26"/>
      <c r="O27" s="33"/>
    </row>
    <row r="28" spans="1:15" x14ac:dyDescent="0.25">
      <c r="A28" s="25"/>
      <c r="B28" s="26"/>
      <c r="C28" s="27"/>
      <c r="E28" s="28"/>
      <c r="F28" s="26"/>
      <c r="G28" s="29"/>
      <c r="I28" s="30"/>
      <c r="J28" s="26"/>
      <c r="K28" s="31"/>
      <c r="M28" s="32"/>
      <c r="N28" s="26"/>
      <c r="O28" s="33"/>
    </row>
    <row r="29" spans="1:15" x14ac:dyDescent="0.25">
      <c r="A29" s="25"/>
      <c r="B29" s="26"/>
      <c r="C29" s="27"/>
      <c r="E29" s="28"/>
      <c r="F29" s="26"/>
      <c r="G29" s="29"/>
      <c r="I29" s="30"/>
      <c r="J29" s="26"/>
      <c r="K29" s="31"/>
      <c r="M29" s="32"/>
      <c r="N29" s="26"/>
      <c r="O29" s="33"/>
    </row>
    <row r="30" spans="1:15" x14ac:dyDescent="0.25">
      <c r="A30" s="25"/>
      <c r="B30" s="26"/>
      <c r="C30" s="27"/>
      <c r="E30" s="28"/>
      <c r="F30" s="26"/>
      <c r="G30" s="29"/>
      <c r="I30" s="30"/>
      <c r="J30" s="26"/>
      <c r="K30" s="31"/>
      <c r="M30" s="32"/>
      <c r="N30" s="26"/>
      <c r="O30" s="33"/>
    </row>
  </sheetData>
  <mergeCells count="5">
    <mergeCell ref="A1:O1"/>
    <mergeCell ref="A5:C5"/>
    <mergeCell ref="E5:G5"/>
    <mergeCell ref="I5:K5"/>
    <mergeCell ref="M5:O5"/>
  </mergeCells>
  <dataValidations count="3">
    <dataValidation type="list" allowBlank="1" sqref="C3">
      <formula1>"Minha Palakkathodi,Adithyan N,Fathima Hana,Muhammad Sanish,Fadi Ahmed,Muhammed Sadik KT"</formula1>
    </dataValidation>
    <dataValidation type="list" allowBlank="1" sqref="F3">
      <formula1>"Infrastructure,Backend,Frontend,Database,AI,Face Recognition,Documentation &amp; QA"</formula1>
    </dataValidation>
    <dataValidation type="list" allowBlank="1" sqref="I3">
      <formula1>"Sprint 0,Day 1,Day 2,Day 3,Day 4,Day 5,Day 6,Day 7"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245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=Dashboard!A16</f>
      </c>
      <c r="B3" s="6">
        <f>=Dashboard!C16</f>
      </c>
      <c r="C3" s="6">
        <f>=Dashboard!D16</f>
      </c>
      <c r="D3" s="13">
        <f>=Dashboard!E16</f>
      </c>
      <c r="E3" s="13">
        <f>=Dashboard!I16</f>
      </c>
      <c r="F3" s="13">
        <f>=Dashboard!F16</f>
      </c>
      <c r="G3" s="6" t="s">
        <v>249</v>
      </c>
      <c r="H3" s="13" t="s">
        <v>250</v>
      </c>
      <c r="I3" s="13" t="s">
        <v>250</v>
      </c>
      <c r="J3" s="6">
        <f>=Dashboard!L16</f>
      </c>
    </row>
    <row r="4" spans="1:10" x14ac:dyDescent="0.25">
      <c r="A4" s="15">
        <f>=Dashboard!A17</f>
      </c>
      <c r="B4" s="9">
        <f>=Dashboard!C17</f>
      </c>
      <c r="C4" s="9">
        <f>=Dashboard!D17</f>
      </c>
      <c r="D4" s="15">
        <f>=Dashboard!E17</f>
      </c>
      <c r="E4" s="15">
        <f>=Dashboard!I17</f>
      </c>
      <c r="F4" s="15">
        <f>=Dashboard!F17</f>
      </c>
      <c r="G4" s="9" t="s">
        <v>251</v>
      </c>
      <c r="H4" s="15" t="s">
        <v>252</v>
      </c>
      <c r="I4" s="15" t="s">
        <v>250</v>
      </c>
      <c r="J4" s="9">
        <f>=Dashboard!L17</f>
      </c>
    </row>
    <row r="5" spans="1:10" x14ac:dyDescent="0.25">
      <c r="A5" s="13">
        <f>=Dashboard!A18</f>
      </c>
      <c r="B5" s="6">
        <f>=Dashboard!C18</f>
      </c>
      <c r="C5" s="6">
        <f>=Dashboard!D18</f>
      </c>
      <c r="D5" s="13">
        <f>=Dashboard!E18</f>
      </c>
      <c r="E5" s="13">
        <f>=Dashboard!I18</f>
      </c>
      <c r="F5" s="13">
        <f>=Dashboard!F18</f>
      </c>
      <c r="G5" s="6" t="s">
        <v>253</v>
      </c>
      <c r="H5" s="13" t="s">
        <v>252</v>
      </c>
      <c r="I5" s="13" t="s">
        <v>250</v>
      </c>
      <c r="J5" s="6">
        <f>=Dashboard!L18</f>
      </c>
    </row>
    <row r="6" spans="1:10" x14ac:dyDescent="0.25">
      <c r="A6" s="15">
        <f>=Dashboard!A19</f>
      </c>
      <c r="B6" s="9">
        <f>=Dashboard!C19</f>
      </c>
      <c r="C6" s="9">
        <f>=Dashboard!D19</f>
      </c>
      <c r="D6" s="15">
        <f>=Dashboard!E19</f>
      </c>
      <c r="E6" s="15">
        <f>=Dashboard!I19</f>
      </c>
      <c r="F6" s="15">
        <f>=Dashboard!F19</f>
      </c>
      <c r="G6" s="9" t="s">
        <v>254</v>
      </c>
      <c r="H6" s="15" t="s">
        <v>252</v>
      </c>
      <c r="I6" s="15" t="s">
        <v>252</v>
      </c>
      <c r="J6" s="9">
        <f>=Dashboard!L19</f>
      </c>
    </row>
    <row r="7" spans="1:10" x14ac:dyDescent="0.25">
      <c r="A7" s="13">
        <f>=Dashboard!A20</f>
      </c>
      <c r="B7" s="6">
        <f>=Dashboard!C20</f>
      </c>
      <c r="C7" s="6">
        <f>=Dashboard!D20</f>
      </c>
      <c r="D7" s="13">
        <f>=Dashboard!E20</f>
      </c>
      <c r="E7" s="13">
        <f>=Dashboard!I20</f>
      </c>
      <c r="F7" s="13">
        <f>=Dashboard!F20</f>
      </c>
      <c r="G7" s="6" t="s">
        <v>255</v>
      </c>
      <c r="H7" s="13" t="s">
        <v>252</v>
      </c>
      <c r="I7" s="13" t="s">
        <v>252</v>
      </c>
      <c r="J7" s="6">
        <f>=Dashboard!L20</f>
      </c>
    </row>
  </sheetData>
  <autoFilter ref="A2:J7"/>
  <mergeCells count="1">
    <mergeCell ref="A1:J1"/>
  </mergeCells>
  <conditionalFormatting sqref="F3:F7">
    <cfRule type="cellIs" dxfId="9" priority="1" operator="equal">
      <formula>"Completed"</formula>
    </cfRule>
    <cfRule type="cellIs" dxfId="10" priority="2" operator="equal">
      <formula>"In Progress"</formula>
    </cfRule>
    <cfRule type="cellIs" dxfId="11" priority="3" operator="equal">
      <formula>"Review"</formula>
    </cfRule>
    <cfRule type="cellIs" dxfId="12" priority="4" operator="equal">
      <formula>"Blocked"</formula>
    </cfRule>
    <cfRule type="cellIs" dxfId="13" priority="5" operator="equal">
      <formula>"Not Started"</formula>
    </cfRule>
  </conditionalFormatting>
  <conditionalFormatting sqref="D3:D7">
    <cfRule type="cellIs" dxfId="14" priority="6" operator="equal">
      <formula>"Critical"</formula>
    </cfRule>
    <cfRule type="cellIs" dxfId="15" priority="7" operator="equal">
      <formula>"High"</formula>
    </cfRule>
    <cfRule type="cellIs" dxfId="16" priority="8" operator="equal">
      <formula>"Medium"</formula>
    </cfRule>
    <cfRule type="cellIs" dxfId="17" priority="9" operator="equal">
      <formula>"Low"</formula>
    </cfRule>
  </conditionalFormatting>
  <dataValidations count="2">
    <dataValidation type="list" allowBlank="1" sqref="D3:D7">
      <formula1>"Critical,High,Medium,Low"</formula1>
    </dataValidation>
    <dataValidation type="list" allowBlank="1" sqref="F3:F7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256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=Dashboard!A21</f>
      </c>
      <c r="B3" s="6">
        <f>=Dashboard!C21</f>
      </c>
      <c r="C3" s="6">
        <f>=Dashboard!D21</f>
      </c>
      <c r="D3" s="13">
        <f>=Dashboard!E21</f>
      </c>
      <c r="E3" s="13">
        <f>=Dashboard!I21</f>
      </c>
      <c r="F3" s="13">
        <f>=Dashboard!F21</f>
      </c>
      <c r="G3" s="6" t="s">
        <v>257</v>
      </c>
      <c r="H3" s="13" t="s">
        <v>252</v>
      </c>
      <c r="I3" s="13" t="s">
        <v>252</v>
      </c>
      <c r="J3" s="6">
        <f>=Dashboard!L21</f>
      </c>
    </row>
    <row r="4" spans="1:10" x14ac:dyDescent="0.25">
      <c r="A4" s="15">
        <f>=Dashboard!A22</f>
      </c>
      <c r="B4" s="9">
        <f>=Dashboard!C22</f>
      </c>
      <c r="C4" s="9">
        <f>=Dashboard!D22</f>
      </c>
      <c r="D4" s="15">
        <f>=Dashboard!E22</f>
      </c>
      <c r="E4" s="15">
        <f>=Dashboard!I22</f>
      </c>
      <c r="F4" s="15">
        <f>=Dashboard!F22</f>
      </c>
      <c r="G4" s="9" t="s">
        <v>258</v>
      </c>
      <c r="H4" s="15" t="s">
        <v>252</v>
      </c>
      <c r="I4" s="15" t="s">
        <v>252</v>
      </c>
      <c r="J4" s="9">
        <f>=Dashboard!L22</f>
      </c>
    </row>
    <row r="5" spans="1:10" x14ac:dyDescent="0.25">
      <c r="A5" s="13">
        <f>=Dashboard!A23</f>
      </c>
      <c r="B5" s="6">
        <f>=Dashboard!C23</f>
      </c>
      <c r="C5" s="6">
        <f>=Dashboard!D23</f>
      </c>
      <c r="D5" s="13">
        <f>=Dashboard!E23</f>
      </c>
      <c r="E5" s="13">
        <f>=Dashboard!I23</f>
      </c>
      <c r="F5" s="13">
        <f>=Dashboard!F23</f>
      </c>
      <c r="G5" s="6" t="s">
        <v>259</v>
      </c>
      <c r="H5" s="13" t="s">
        <v>252</v>
      </c>
      <c r="I5" s="13" t="s">
        <v>252</v>
      </c>
      <c r="J5" s="6">
        <f>=Dashboard!L23</f>
      </c>
    </row>
    <row r="6" spans="1:10" x14ac:dyDescent="0.25">
      <c r="A6" s="15">
        <f>=Dashboard!A24</f>
      </c>
      <c r="B6" s="9">
        <f>=Dashboard!C24</f>
      </c>
      <c r="C6" s="9">
        <f>=Dashboard!D24</f>
      </c>
      <c r="D6" s="15">
        <f>=Dashboard!E24</f>
      </c>
      <c r="E6" s="15">
        <f>=Dashboard!I24</f>
      </c>
      <c r="F6" s="15">
        <f>=Dashboard!F24</f>
      </c>
      <c r="G6" s="9" t="s">
        <v>260</v>
      </c>
      <c r="H6" s="15" t="s">
        <v>252</v>
      </c>
      <c r="I6" s="15" t="s">
        <v>252</v>
      </c>
      <c r="J6" s="9">
        <f>=Dashboard!L24</f>
      </c>
    </row>
    <row r="7" spans="1:10" x14ac:dyDescent="0.25">
      <c r="A7" s="13">
        <f>=Dashboard!A25</f>
      </c>
      <c r="B7" s="6">
        <f>=Dashboard!C25</f>
      </c>
      <c r="C7" s="6">
        <f>=Dashboard!D25</f>
      </c>
      <c r="D7" s="13">
        <f>=Dashboard!E25</f>
      </c>
      <c r="E7" s="13">
        <f>=Dashboard!I25</f>
      </c>
      <c r="F7" s="13">
        <f>=Dashboard!F25</f>
      </c>
      <c r="G7" s="6" t="s">
        <v>261</v>
      </c>
      <c r="H7" s="13" t="s">
        <v>252</v>
      </c>
      <c r="I7" s="13" t="s">
        <v>252</v>
      </c>
      <c r="J7" s="6">
        <f>=Dashboard!L25</f>
      </c>
    </row>
    <row r="8" spans="1:10" x14ac:dyDescent="0.25">
      <c r="A8" s="15">
        <f>=Dashboard!A26</f>
      </c>
      <c r="B8" s="9">
        <f>=Dashboard!C26</f>
      </c>
      <c r="C8" s="9">
        <f>=Dashboard!D26</f>
      </c>
      <c r="D8" s="15">
        <f>=Dashboard!E26</f>
      </c>
      <c r="E8" s="15">
        <f>=Dashboard!I26</f>
      </c>
      <c r="F8" s="15">
        <f>=Dashboard!F26</f>
      </c>
      <c r="G8" s="9" t="s">
        <v>262</v>
      </c>
      <c r="H8" s="15" t="s">
        <v>252</v>
      </c>
      <c r="I8" s="15" t="s">
        <v>252</v>
      </c>
      <c r="J8" s="9">
        <f>=Dashboard!L26</f>
      </c>
    </row>
    <row r="9" spans="1:10" x14ac:dyDescent="0.25">
      <c r="A9" s="13">
        <f>=Dashboard!A27</f>
      </c>
      <c r="B9" s="6">
        <f>=Dashboard!C27</f>
      </c>
      <c r="C9" s="6">
        <f>=Dashboard!D27</f>
      </c>
      <c r="D9" s="13">
        <f>=Dashboard!E27</f>
      </c>
      <c r="E9" s="13">
        <f>=Dashboard!I27</f>
      </c>
      <c r="F9" s="13">
        <f>=Dashboard!F27</f>
      </c>
      <c r="G9" s="6" t="s">
        <v>263</v>
      </c>
      <c r="H9" s="13" t="s">
        <v>252</v>
      </c>
      <c r="I9" s="13" t="s">
        <v>252</v>
      </c>
      <c r="J9" s="6">
        <f>=Dashboard!L27</f>
      </c>
    </row>
    <row r="10" spans="1:10" x14ac:dyDescent="0.25">
      <c r="A10" s="15">
        <f>=Dashboard!A28</f>
      </c>
      <c r="B10" s="9">
        <f>=Dashboard!C28</f>
      </c>
      <c r="C10" s="9">
        <f>=Dashboard!D28</f>
      </c>
      <c r="D10" s="15">
        <f>=Dashboard!E28</f>
      </c>
      <c r="E10" s="15">
        <f>=Dashboard!I28</f>
      </c>
      <c r="F10" s="15">
        <f>=Dashboard!F28</f>
      </c>
      <c r="G10" s="9" t="s">
        <v>264</v>
      </c>
      <c r="H10" s="15" t="s">
        <v>252</v>
      </c>
      <c r="I10" s="15" t="s">
        <v>252</v>
      </c>
      <c r="J10" s="9">
        <f>=Dashboard!L28</f>
      </c>
    </row>
    <row r="11" spans="1:10" x14ac:dyDescent="0.25">
      <c r="A11" s="13">
        <f>=Dashboard!A29</f>
      </c>
      <c r="B11" s="6">
        <f>=Dashboard!C29</f>
      </c>
      <c r="C11" s="6">
        <f>=Dashboard!D29</f>
      </c>
      <c r="D11" s="13">
        <f>=Dashboard!E29</f>
      </c>
      <c r="E11" s="13">
        <f>=Dashboard!I29</f>
      </c>
      <c r="F11" s="13">
        <f>=Dashboard!F29</f>
      </c>
      <c r="G11" s="6" t="s">
        <v>265</v>
      </c>
      <c r="H11" s="13" t="s">
        <v>252</v>
      </c>
      <c r="I11" s="13" t="s">
        <v>250</v>
      </c>
      <c r="J11" s="6">
        <f>=Dashboard!L29</f>
      </c>
    </row>
    <row r="12" spans="1:10" x14ac:dyDescent="0.25">
      <c r="A12" s="15">
        <f>=Dashboard!A30</f>
      </c>
      <c r="B12" s="9">
        <f>=Dashboard!C30</f>
      </c>
      <c r="C12" s="9">
        <f>=Dashboard!D30</f>
      </c>
      <c r="D12" s="15">
        <f>=Dashboard!E30</f>
      </c>
      <c r="E12" s="15">
        <f>=Dashboard!I30</f>
      </c>
      <c r="F12" s="15">
        <f>=Dashboard!F30</f>
      </c>
      <c r="G12" s="9" t="s">
        <v>266</v>
      </c>
      <c r="H12" s="15" t="s">
        <v>252</v>
      </c>
      <c r="I12" s="15" t="s">
        <v>250</v>
      </c>
      <c r="J12" s="9">
        <f>=Dashboard!L30</f>
      </c>
    </row>
    <row r="13" spans="1:10" x14ac:dyDescent="0.25">
      <c r="A13" s="13">
        <f>=Dashboard!A31</f>
      </c>
      <c r="B13" s="6">
        <f>=Dashboard!C31</f>
      </c>
      <c r="C13" s="6">
        <f>=Dashboard!D31</f>
      </c>
      <c r="D13" s="13">
        <f>=Dashboard!E31</f>
      </c>
      <c r="E13" s="13">
        <f>=Dashboard!I31</f>
      </c>
      <c r="F13" s="13">
        <f>=Dashboard!F31</f>
      </c>
      <c r="G13" s="6" t="s">
        <v>267</v>
      </c>
      <c r="H13" s="13" t="s">
        <v>252</v>
      </c>
      <c r="I13" s="13" t="s">
        <v>252</v>
      </c>
      <c r="J13" s="6">
        <f>=Dashboard!L31</f>
      </c>
    </row>
    <row r="14" spans="1:10" x14ac:dyDescent="0.25">
      <c r="A14" s="15">
        <f>=Dashboard!A32</f>
      </c>
      <c r="B14" s="9">
        <f>=Dashboard!C32</f>
      </c>
      <c r="C14" s="9">
        <f>=Dashboard!D32</f>
      </c>
      <c r="D14" s="15">
        <f>=Dashboard!E32</f>
      </c>
      <c r="E14" s="15">
        <f>=Dashboard!I32</f>
      </c>
      <c r="F14" s="15">
        <f>=Dashboard!F32</f>
      </c>
      <c r="G14" s="9" t="s">
        <v>268</v>
      </c>
      <c r="H14" s="15" t="s">
        <v>252</v>
      </c>
      <c r="I14" s="15" t="s">
        <v>252</v>
      </c>
      <c r="J14" s="9">
        <f>=Dashboard!L32</f>
      </c>
    </row>
    <row r="15" spans="1:10" x14ac:dyDescent="0.25">
      <c r="A15" s="13">
        <f>=Dashboard!A33</f>
      </c>
      <c r="B15" s="6">
        <f>=Dashboard!C33</f>
      </c>
      <c r="C15" s="6">
        <f>=Dashboard!D33</f>
      </c>
      <c r="D15" s="13">
        <f>=Dashboard!E33</f>
      </c>
      <c r="E15" s="13">
        <f>=Dashboard!I33</f>
      </c>
      <c r="F15" s="13">
        <f>=Dashboard!F33</f>
      </c>
      <c r="G15" s="6" t="s">
        <v>269</v>
      </c>
      <c r="H15" s="13" t="s">
        <v>252</v>
      </c>
      <c r="I15" s="13" t="s">
        <v>252</v>
      </c>
      <c r="J15" s="6">
        <f>=Dashboard!L33</f>
      </c>
    </row>
    <row r="16" spans="1:10" x14ac:dyDescent="0.25">
      <c r="A16" s="15">
        <f>=Dashboard!A34</f>
      </c>
      <c r="B16" s="9">
        <f>=Dashboard!C34</f>
      </c>
      <c r="C16" s="9">
        <f>=Dashboard!D34</f>
      </c>
      <c r="D16" s="15">
        <f>=Dashboard!E34</f>
      </c>
      <c r="E16" s="15">
        <f>=Dashboard!I34</f>
      </c>
      <c r="F16" s="15">
        <f>=Dashboard!F34</f>
      </c>
      <c r="G16" s="9" t="s">
        <v>270</v>
      </c>
      <c r="H16" s="15" t="s">
        <v>252</v>
      </c>
      <c r="I16" s="15" t="s">
        <v>252</v>
      </c>
      <c r="J16" s="9">
        <f>=Dashboard!L34</f>
      </c>
    </row>
    <row r="17" spans="1:10" x14ac:dyDescent="0.25">
      <c r="A17" s="13">
        <f>=Dashboard!A35</f>
      </c>
      <c r="B17" s="6">
        <f>=Dashboard!C35</f>
      </c>
      <c r="C17" s="6">
        <f>=Dashboard!D35</f>
      </c>
      <c r="D17" s="13">
        <f>=Dashboard!E35</f>
      </c>
      <c r="E17" s="13">
        <f>=Dashboard!I35</f>
      </c>
      <c r="F17" s="13">
        <f>=Dashboard!F35</f>
      </c>
      <c r="G17" s="6" t="s">
        <v>271</v>
      </c>
      <c r="H17" s="13" t="s">
        <v>252</v>
      </c>
      <c r="I17" s="13" t="s">
        <v>252</v>
      </c>
      <c r="J17" s="6">
        <f>=Dashboard!L35</f>
      </c>
    </row>
    <row r="18" spans="1:10" x14ac:dyDescent="0.25">
      <c r="A18" s="15">
        <f>=Dashboard!A36</f>
      </c>
      <c r="B18" s="9">
        <f>=Dashboard!C36</f>
      </c>
      <c r="C18" s="9">
        <f>=Dashboard!D36</f>
      </c>
      <c r="D18" s="15">
        <f>=Dashboard!E36</f>
      </c>
      <c r="E18" s="15">
        <f>=Dashboard!I36</f>
      </c>
      <c r="F18" s="15">
        <f>=Dashboard!F36</f>
      </c>
      <c r="G18" s="9" t="s">
        <v>272</v>
      </c>
      <c r="H18" s="15" t="s">
        <v>252</v>
      </c>
      <c r="I18" s="15" t="s">
        <v>252</v>
      </c>
      <c r="J18" s="9">
        <f>=Dashboard!L36</f>
      </c>
    </row>
    <row r="19" spans="1:10" x14ac:dyDescent="0.25">
      <c r="A19" s="13">
        <f>=Dashboard!A37</f>
      </c>
      <c r="B19" s="6">
        <f>=Dashboard!C37</f>
      </c>
      <c r="C19" s="6">
        <f>=Dashboard!D37</f>
      </c>
      <c r="D19" s="13">
        <f>=Dashboard!E37</f>
      </c>
      <c r="E19" s="13">
        <f>=Dashboard!I37</f>
      </c>
      <c r="F19" s="13">
        <f>=Dashboard!F37</f>
      </c>
      <c r="G19" s="6" t="s">
        <v>273</v>
      </c>
      <c r="H19" s="13" t="s">
        <v>252</v>
      </c>
      <c r="I19" s="13" t="s">
        <v>250</v>
      </c>
      <c r="J19" s="6">
        <f>=Dashboard!L37</f>
      </c>
    </row>
  </sheetData>
  <autoFilter ref="A2:J19"/>
  <mergeCells count="1">
    <mergeCell ref="A1:J1"/>
  </mergeCells>
  <conditionalFormatting sqref="F3:F19">
    <cfRule type="cellIs" dxfId="18" priority="1" operator="equal">
      <formula>"Completed"</formula>
    </cfRule>
    <cfRule type="cellIs" dxfId="19" priority="2" operator="equal">
      <formula>"In Progress"</formula>
    </cfRule>
    <cfRule type="cellIs" dxfId="20" priority="3" operator="equal">
      <formula>"Review"</formula>
    </cfRule>
    <cfRule type="cellIs" dxfId="21" priority="4" operator="equal">
      <formula>"Blocked"</formula>
    </cfRule>
    <cfRule type="cellIs" dxfId="22" priority="5" operator="equal">
      <formula>"Not Started"</formula>
    </cfRule>
  </conditionalFormatting>
  <conditionalFormatting sqref="D3:D19">
    <cfRule type="cellIs" dxfId="23" priority="6" operator="equal">
      <formula>"Critical"</formula>
    </cfRule>
    <cfRule type="cellIs" dxfId="24" priority="7" operator="equal">
      <formula>"High"</formula>
    </cfRule>
    <cfRule type="cellIs" dxfId="25" priority="8" operator="equal">
      <formula>"Medium"</formula>
    </cfRule>
    <cfRule type="cellIs" dxfId="26" priority="9" operator="equal">
      <formula>"Low"</formula>
    </cfRule>
  </conditionalFormatting>
  <dataValidations count="4">
    <dataValidation type="list" allowBlank="1" sqref="D10:D19">
      <formula1>"Critical,High,Medium,Low"</formula1>
    </dataValidation>
    <dataValidation type="list" allowBlank="1" sqref="D3:D19">
      <formula1>"Critical,High,Medium,Low"</formula1>
    </dataValidation>
    <dataValidation type="list" allowBlank="1" sqref="F10:F19">
      <formula1>"Not Started,In Progress,Review,Completed,Blocked"</formula1>
    </dataValidation>
    <dataValidation type="list" allowBlank="1" sqref="F3:F19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274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=Dashboard!A38</f>
      </c>
      <c r="B3" s="6">
        <f>=Dashboard!C38</f>
      </c>
      <c r="C3" s="6">
        <f>=Dashboard!D38</f>
      </c>
      <c r="D3" s="13">
        <f>=Dashboard!E38</f>
      </c>
      <c r="E3" s="13">
        <f>=Dashboard!I38</f>
      </c>
      <c r="F3" s="13">
        <f>=Dashboard!F38</f>
      </c>
      <c r="G3" s="6" t="s">
        <v>275</v>
      </c>
      <c r="H3" s="13" t="s">
        <v>252</v>
      </c>
      <c r="I3" s="13" t="s">
        <v>252</v>
      </c>
      <c r="J3" s="6">
        <f>=Dashboard!L38</f>
      </c>
    </row>
    <row r="4" spans="1:10" x14ac:dyDescent="0.25">
      <c r="A4" s="15">
        <f>=Dashboard!A39</f>
      </c>
      <c r="B4" s="9">
        <f>=Dashboard!C39</f>
      </c>
      <c r="C4" s="9">
        <f>=Dashboard!D39</f>
      </c>
      <c r="D4" s="15">
        <f>=Dashboard!E39</f>
      </c>
      <c r="E4" s="15">
        <f>=Dashboard!I39</f>
      </c>
      <c r="F4" s="15">
        <f>=Dashboard!F39</f>
      </c>
      <c r="G4" s="9" t="s">
        <v>276</v>
      </c>
      <c r="H4" s="15" t="s">
        <v>252</v>
      </c>
      <c r="I4" s="15" t="s">
        <v>252</v>
      </c>
      <c r="J4" s="9">
        <f>=Dashboard!L39</f>
      </c>
    </row>
    <row r="5" spans="1:10" x14ac:dyDescent="0.25">
      <c r="A5" s="13">
        <f>=Dashboard!A40</f>
      </c>
      <c r="B5" s="6">
        <f>=Dashboard!C40</f>
      </c>
      <c r="C5" s="6">
        <f>=Dashboard!D40</f>
      </c>
      <c r="D5" s="13">
        <f>=Dashboard!E40</f>
      </c>
      <c r="E5" s="13">
        <f>=Dashboard!I40</f>
      </c>
      <c r="F5" s="13">
        <f>=Dashboard!F40</f>
      </c>
      <c r="G5" s="6" t="s">
        <v>277</v>
      </c>
      <c r="H5" s="13" t="s">
        <v>252</v>
      </c>
      <c r="I5" s="13" t="s">
        <v>252</v>
      </c>
      <c r="J5" s="6">
        <f>=Dashboard!L40</f>
      </c>
    </row>
    <row r="6" spans="1:10" x14ac:dyDescent="0.25">
      <c r="A6" s="15">
        <f>=Dashboard!A41</f>
      </c>
      <c r="B6" s="9">
        <f>=Dashboard!C41</f>
      </c>
      <c r="C6" s="9">
        <f>=Dashboard!D41</f>
      </c>
      <c r="D6" s="15">
        <f>=Dashboard!E41</f>
      </c>
      <c r="E6" s="15">
        <f>=Dashboard!I41</f>
      </c>
      <c r="F6" s="15">
        <f>=Dashboard!F41</f>
      </c>
      <c r="G6" s="9" t="s">
        <v>278</v>
      </c>
      <c r="H6" s="15" t="s">
        <v>252</v>
      </c>
      <c r="I6" s="15" t="s">
        <v>252</v>
      </c>
      <c r="J6" s="9">
        <f>=Dashboard!L41</f>
      </c>
    </row>
  </sheetData>
  <autoFilter ref="A2:J6"/>
  <mergeCells count="1">
    <mergeCell ref="A1:J1"/>
  </mergeCells>
  <conditionalFormatting sqref="F3:F6">
    <cfRule type="cellIs" dxfId="27" priority="1" operator="equal">
      <formula>"Completed"</formula>
    </cfRule>
    <cfRule type="cellIs" dxfId="28" priority="2" operator="equal">
      <formula>"In Progress"</formula>
    </cfRule>
    <cfRule type="cellIs" dxfId="29" priority="3" operator="equal">
      <formula>"Review"</formula>
    </cfRule>
    <cfRule type="cellIs" dxfId="30" priority="4" operator="equal">
      <formula>"Blocked"</formula>
    </cfRule>
    <cfRule type="cellIs" dxfId="31" priority="5" operator="equal">
      <formula>"Not Started"</formula>
    </cfRule>
  </conditionalFormatting>
  <conditionalFormatting sqref="D3:D6">
    <cfRule type="cellIs" dxfId="32" priority="6" operator="equal">
      <formula>"Critical"</formula>
    </cfRule>
    <cfRule type="cellIs" dxfId="33" priority="7" operator="equal">
      <formula>"High"</formula>
    </cfRule>
    <cfRule type="cellIs" dxfId="34" priority="8" operator="equal">
      <formula>"Medium"</formula>
    </cfRule>
    <cfRule type="cellIs" dxfId="35" priority="9" operator="equal">
      <formula>"Low"</formula>
    </cfRule>
  </conditionalFormatting>
  <dataValidations count="2">
    <dataValidation type="list" allowBlank="1" sqref="D3:D6">
      <formula1>"Critical,High,Medium,Low"</formula1>
    </dataValidation>
    <dataValidation type="list" allowBlank="1" sqref="F3:F6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279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=Dashboard!A42</f>
      </c>
      <c r="B3" s="6">
        <f>=Dashboard!C42</f>
      </c>
      <c r="C3" s="6">
        <f>=Dashboard!D42</f>
      </c>
      <c r="D3" s="13">
        <f>=Dashboard!E42</f>
      </c>
      <c r="E3" s="13">
        <f>=Dashboard!I42</f>
      </c>
      <c r="F3" s="13">
        <f>=Dashboard!F42</f>
      </c>
      <c r="G3" s="6" t="s">
        <v>280</v>
      </c>
      <c r="H3" s="13" t="s">
        <v>252</v>
      </c>
      <c r="I3" s="13" t="s">
        <v>252</v>
      </c>
      <c r="J3" s="6">
        <f>=Dashboard!L42</f>
      </c>
    </row>
    <row r="4" spans="1:10" x14ac:dyDescent="0.25">
      <c r="A4" s="15">
        <f>=Dashboard!A43</f>
      </c>
      <c r="B4" s="9">
        <f>=Dashboard!C43</f>
      </c>
      <c r="C4" s="9">
        <f>=Dashboard!D43</f>
      </c>
      <c r="D4" s="15">
        <f>=Dashboard!E43</f>
      </c>
      <c r="E4" s="15">
        <f>=Dashboard!I43</f>
      </c>
      <c r="F4" s="15">
        <f>=Dashboard!F43</f>
      </c>
      <c r="G4" s="9" t="s">
        <v>281</v>
      </c>
      <c r="H4" s="15" t="s">
        <v>252</v>
      </c>
      <c r="I4" s="15" t="s">
        <v>252</v>
      </c>
      <c r="J4" s="9">
        <f>=Dashboard!L43</f>
      </c>
    </row>
    <row r="5" spans="1:10" x14ac:dyDescent="0.25">
      <c r="A5" s="13">
        <f>=Dashboard!A44</f>
      </c>
      <c r="B5" s="6">
        <f>=Dashboard!C44</f>
      </c>
      <c r="C5" s="6">
        <f>=Dashboard!D44</f>
      </c>
      <c r="D5" s="13">
        <f>=Dashboard!E44</f>
      </c>
      <c r="E5" s="13">
        <f>=Dashboard!I44</f>
      </c>
      <c r="F5" s="13">
        <f>=Dashboard!F44</f>
      </c>
      <c r="G5" s="6" t="s">
        <v>282</v>
      </c>
      <c r="H5" s="13" t="s">
        <v>252</v>
      </c>
      <c r="I5" s="13" t="s">
        <v>250</v>
      </c>
      <c r="J5" s="6">
        <f>=Dashboard!L44</f>
      </c>
    </row>
    <row r="6" spans="1:10" x14ac:dyDescent="0.25">
      <c r="A6" s="15">
        <f>=Dashboard!A45</f>
      </c>
      <c r="B6" s="9">
        <f>=Dashboard!C45</f>
      </c>
      <c r="C6" s="9">
        <f>=Dashboard!D45</f>
      </c>
      <c r="D6" s="15">
        <f>=Dashboard!E45</f>
      </c>
      <c r="E6" s="15">
        <f>=Dashboard!I45</f>
      </c>
      <c r="F6" s="15">
        <f>=Dashboard!F45</f>
      </c>
      <c r="G6" s="9" t="s">
        <v>283</v>
      </c>
      <c r="H6" s="15" t="s">
        <v>252</v>
      </c>
      <c r="I6" s="15" t="s">
        <v>250</v>
      </c>
      <c r="J6" s="9">
        <f>=Dashboard!L45</f>
      </c>
    </row>
  </sheetData>
  <autoFilter ref="A2:J6"/>
  <mergeCells count="1">
    <mergeCell ref="A1:J1"/>
  </mergeCells>
  <conditionalFormatting sqref="F3:F6">
    <cfRule type="cellIs" dxfId="36" priority="1" operator="equal">
      <formula>"Completed"</formula>
    </cfRule>
    <cfRule type="cellIs" dxfId="37" priority="2" operator="equal">
      <formula>"In Progress"</formula>
    </cfRule>
    <cfRule type="cellIs" dxfId="38" priority="3" operator="equal">
      <formula>"Review"</formula>
    </cfRule>
    <cfRule type="cellIs" dxfId="39" priority="4" operator="equal">
      <formula>"Blocked"</formula>
    </cfRule>
    <cfRule type="cellIs" dxfId="40" priority="5" operator="equal">
      <formula>"Not Started"</formula>
    </cfRule>
  </conditionalFormatting>
  <conditionalFormatting sqref="D3:D6">
    <cfRule type="cellIs" dxfId="41" priority="6" operator="equal">
      <formula>"Critical"</formula>
    </cfRule>
    <cfRule type="cellIs" dxfId="42" priority="7" operator="equal">
      <formula>"High"</formula>
    </cfRule>
    <cfRule type="cellIs" dxfId="43" priority="8" operator="equal">
      <formula>"Medium"</formula>
    </cfRule>
    <cfRule type="cellIs" dxfId="44" priority="9" operator="equal">
      <formula>"Low"</formula>
    </cfRule>
  </conditionalFormatting>
  <dataValidations count="2">
    <dataValidation type="list" allowBlank="1" sqref="D3:D6">
      <formula1>"Critical,High,Medium,Low"</formula1>
    </dataValidation>
    <dataValidation type="list" allowBlank="1" sqref="F3:F6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284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=Dashboard!A46</f>
      </c>
      <c r="B3" s="6">
        <f>=Dashboard!C46</f>
      </c>
      <c r="C3" s="6">
        <f>=Dashboard!D46</f>
      </c>
      <c r="D3" s="13">
        <f>=Dashboard!E46</f>
      </c>
      <c r="E3" s="13">
        <f>=Dashboard!I46</f>
      </c>
      <c r="F3" s="13">
        <f>=Dashboard!F46</f>
      </c>
      <c r="G3" s="6" t="s">
        <v>285</v>
      </c>
      <c r="H3" s="13" t="s">
        <v>252</v>
      </c>
      <c r="I3" s="13" t="s">
        <v>252</v>
      </c>
      <c r="J3" s="6">
        <f>=Dashboard!L46</f>
      </c>
    </row>
    <row r="4" spans="1:10" x14ac:dyDescent="0.25">
      <c r="A4" s="15">
        <f>=Dashboard!A47</f>
      </c>
      <c r="B4" s="9">
        <f>=Dashboard!C47</f>
      </c>
      <c r="C4" s="9">
        <f>=Dashboard!D47</f>
      </c>
      <c r="D4" s="15">
        <f>=Dashboard!E47</f>
      </c>
      <c r="E4" s="15">
        <f>=Dashboard!I47</f>
      </c>
      <c r="F4" s="15">
        <f>=Dashboard!F47</f>
      </c>
      <c r="G4" s="9" t="s">
        <v>286</v>
      </c>
      <c r="H4" s="15" t="s">
        <v>252</v>
      </c>
      <c r="I4" s="15" t="s">
        <v>252</v>
      </c>
      <c r="J4" s="9">
        <f>=Dashboard!L47</f>
      </c>
    </row>
    <row r="5" spans="1:10" x14ac:dyDescent="0.25">
      <c r="A5" s="13">
        <f>=Dashboard!A48</f>
      </c>
      <c r="B5" s="6">
        <f>=Dashboard!C48</f>
      </c>
      <c r="C5" s="6">
        <f>=Dashboard!D48</f>
      </c>
      <c r="D5" s="13">
        <f>=Dashboard!E48</f>
      </c>
      <c r="E5" s="13">
        <f>=Dashboard!I48</f>
      </c>
      <c r="F5" s="13">
        <f>=Dashboard!F48</f>
      </c>
      <c r="G5" s="6" t="s">
        <v>287</v>
      </c>
      <c r="H5" s="13" t="s">
        <v>252</v>
      </c>
      <c r="I5" s="13" t="s">
        <v>252</v>
      </c>
      <c r="J5" s="6">
        <f>=Dashboard!L48</f>
      </c>
    </row>
    <row r="6" spans="1:10" x14ac:dyDescent="0.25">
      <c r="A6" s="15">
        <f>=Dashboard!A49</f>
      </c>
      <c r="B6" s="9">
        <f>=Dashboard!C49</f>
      </c>
      <c r="C6" s="9">
        <f>=Dashboard!D49</f>
      </c>
      <c r="D6" s="15">
        <f>=Dashboard!E49</f>
      </c>
      <c r="E6" s="15">
        <f>=Dashboard!I49</f>
      </c>
      <c r="F6" s="15">
        <f>=Dashboard!F49</f>
      </c>
      <c r="G6" s="9" t="s">
        <v>288</v>
      </c>
      <c r="H6" s="15" t="s">
        <v>252</v>
      </c>
      <c r="I6" s="15" t="s">
        <v>252</v>
      </c>
      <c r="J6" s="9">
        <f>=Dashboard!L49</f>
      </c>
    </row>
    <row r="7" spans="1:10" x14ac:dyDescent="0.25">
      <c r="A7" s="13">
        <f>=Dashboard!A50</f>
      </c>
      <c r="B7" s="6">
        <f>=Dashboard!C50</f>
      </c>
      <c r="C7" s="6">
        <f>=Dashboard!D50</f>
      </c>
      <c r="D7" s="13">
        <f>=Dashboard!E50</f>
      </c>
      <c r="E7" s="13">
        <f>=Dashboard!I50</f>
      </c>
      <c r="F7" s="13">
        <f>=Dashboard!F50</f>
      </c>
      <c r="G7" s="6" t="s">
        <v>289</v>
      </c>
      <c r="H7" s="13" t="s">
        <v>252</v>
      </c>
      <c r="I7" s="13" t="s">
        <v>252</v>
      </c>
      <c r="J7" s="6">
        <f>=Dashboard!L50</f>
      </c>
    </row>
    <row r="8" spans="1:10" x14ac:dyDescent="0.25">
      <c r="A8" s="15">
        <f>=Dashboard!A51</f>
      </c>
      <c r="B8" s="9">
        <f>=Dashboard!C51</f>
      </c>
      <c r="C8" s="9">
        <f>=Dashboard!D51</f>
      </c>
      <c r="D8" s="15">
        <f>=Dashboard!E51</f>
      </c>
      <c r="E8" s="15">
        <f>=Dashboard!I51</f>
      </c>
      <c r="F8" s="15">
        <f>=Dashboard!F51</f>
      </c>
      <c r="G8" s="9" t="s">
        <v>290</v>
      </c>
      <c r="H8" s="15" t="s">
        <v>252</v>
      </c>
      <c r="I8" s="15" t="s">
        <v>252</v>
      </c>
      <c r="J8" s="9">
        <f>=Dashboard!L51</f>
      </c>
    </row>
    <row r="9" spans="1:10" x14ac:dyDescent="0.25">
      <c r="A9" s="13">
        <f>=Dashboard!A52</f>
      </c>
      <c r="B9" s="6">
        <f>=Dashboard!C52</f>
      </c>
      <c r="C9" s="6">
        <f>=Dashboard!D52</f>
      </c>
      <c r="D9" s="13">
        <f>=Dashboard!E52</f>
      </c>
      <c r="E9" s="13">
        <f>=Dashboard!I52</f>
      </c>
      <c r="F9" s="13">
        <f>=Dashboard!F52</f>
      </c>
      <c r="G9" s="6" t="s">
        <v>291</v>
      </c>
      <c r="H9" s="13" t="s">
        <v>252</v>
      </c>
      <c r="I9" s="13" t="s">
        <v>252</v>
      </c>
      <c r="J9" s="6">
        <f>=Dashboard!L52</f>
      </c>
    </row>
    <row r="10" spans="1:10" x14ac:dyDescent="0.25">
      <c r="A10" s="15">
        <f>=Dashboard!A53</f>
      </c>
      <c r="B10" s="9">
        <f>=Dashboard!C53</f>
      </c>
      <c r="C10" s="9">
        <f>=Dashboard!D53</f>
      </c>
      <c r="D10" s="15">
        <f>=Dashboard!E53</f>
      </c>
      <c r="E10" s="15">
        <f>=Dashboard!I53</f>
      </c>
      <c r="F10" s="15">
        <f>=Dashboard!F53</f>
      </c>
      <c r="G10" s="9" t="s">
        <v>292</v>
      </c>
      <c r="H10" s="15" t="s">
        <v>252</v>
      </c>
      <c r="I10" s="15" t="s">
        <v>252</v>
      </c>
      <c r="J10" s="9">
        <f>=Dashboard!L53</f>
      </c>
    </row>
  </sheetData>
  <autoFilter ref="A2:J10"/>
  <mergeCells count="1">
    <mergeCell ref="A1:J1"/>
  </mergeCells>
  <conditionalFormatting sqref="F3:F10">
    <cfRule type="cellIs" dxfId="45" priority="1" operator="equal">
      <formula>"Completed"</formula>
    </cfRule>
    <cfRule type="cellIs" dxfId="46" priority="2" operator="equal">
      <formula>"In Progress"</formula>
    </cfRule>
    <cfRule type="cellIs" dxfId="47" priority="3" operator="equal">
      <formula>"Review"</formula>
    </cfRule>
    <cfRule type="cellIs" dxfId="48" priority="4" operator="equal">
      <formula>"Blocked"</formula>
    </cfRule>
    <cfRule type="cellIs" dxfId="49" priority="5" operator="equal">
      <formula>"Not Started"</formula>
    </cfRule>
  </conditionalFormatting>
  <conditionalFormatting sqref="D3:D10">
    <cfRule type="cellIs" dxfId="50" priority="6" operator="equal">
      <formula>"Critical"</formula>
    </cfRule>
    <cfRule type="cellIs" dxfId="51" priority="7" operator="equal">
      <formula>"High"</formula>
    </cfRule>
    <cfRule type="cellIs" dxfId="52" priority="8" operator="equal">
      <formula>"Medium"</formula>
    </cfRule>
    <cfRule type="cellIs" dxfId="53" priority="9" operator="equal">
      <formula>"Low"</formula>
    </cfRule>
  </conditionalFormatting>
  <dataValidations count="4">
    <dataValidation type="list" allowBlank="1" sqref="D10">
      <formula1>"Critical,High,Medium,Low"</formula1>
    </dataValidation>
    <dataValidation type="list" allowBlank="1" sqref="D3:D10">
      <formula1>"Critical,High,Medium,Low"</formula1>
    </dataValidation>
    <dataValidation type="list" allowBlank="1" sqref="F10">
      <formula1>"Not Started,In Progress,Review,Completed,Blocked"</formula1>
    </dataValidation>
    <dataValidation type="list" allowBlank="1" sqref="F3:F1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293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=Dashboard!A54</f>
      </c>
      <c r="B3" s="6">
        <f>=Dashboard!C54</f>
      </c>
      <c r="C3" s="6">
        <f>=Dashboard!D54</f>
      </c>
      <c r="D3" s="13">
        <f>=Dashboard!E54</f>
      </c>
      <c r="E3" s="13">
        <f>=Dashboard!I54</f>
      </c>
      <c r="F3" s="13">
        <f>=Dashboard!F54</f>
      </c>
      <c r="G3" s="6" t="s">
        <v>294</v>
      </c>
      <c r="H3" s="13" t="s">
        <v>252</v>
      </c>
      <c r="I3" s="13" t="s">
        <v>252</v>
      </c>
      <c r="J3" s="6">
        <f>=Dashboard!L54</f>
      </c>
    </row>
    <row r="4" spans="1:10" x14ac:dyDescent="0.25">
      <c r="A4" s="15">
        <f>=Dashboard!A55</f>
      </c>
      <c r="B4" s="9">
        <f>=Dashboard!C55</f>
      </c>
      <c r="C4" s="9">
        <f>=Dashboard!D55</f>
      </c>
      <c r="D4" s="15">
        <f>=Dashboard!E55</f>
      </c>
      <c r="E4" s="15">
        <f>=Dashboard!I55</f>
      </c>
      <c r="F4" s="15">
        <f>=Dashboard!F55</f>
      </c>
      <c r="G4" s="9" t="s">
        <v>295</v>
      </c>
      <c r="H4" s="15" t="s">
        <v>252</v>
      </c>
      <c r="I4" s="15" t="s">
        <v>252</v>
      </c>
      <c r="J4" s="9">
        <f>=Dashboard!L55</f>
      </c>
    </row>
    <row r="5" spans="1:10" x14ac:dyDescent="0.25">
      <c r="A5" s="13">
        <f>=Dashboard!A56</f>
      </c>
      <c r="B5" s="6">
        <f>=Dashboard!C56</f>
      </c>
      <c r="C5" s="6">
        <f>=Dashboard!D56</f>
      </c>
      <c r="D5" s="13">
        <f>=Dashboard!E56</f>
      </c>
      <c r="E5" s="13">
        <f>=Dashboard!I56</f>
      </c>
      <c r="F5" s="13">
        <f>=Dashboard!F56</f>
      </c>
      <c r="G5" s="6" t="s">
        <v>296</v>
      </c>
      <c r="H5" s="13" t="s">
        <v>252</v>
      </c>
      <c r="I5" s="13" t="s">
        <v>252</v>
      </c>
      <c r="J5" s="6">
        <f>=Dashboard!L56</f>
      </c>
    </row>
    <row r="6" spans="1:10" x14ac:dyDescent="0.25">
      <c r="A6" s="15">
        <f>=Dashboard!A57</f>
      </c>
      <c r="B6" s="9">
        <f>=Dashboard!C57</f>
      </c>
      <c r="C6" s="9">
        <f>=Dashboard!D57</f>
      </c>
      <c r="D6" s="15">
        <f>=Dashboard!E57</f>
      </c>
      <c r="E6" s="15">
        <f>=Dashboard!I57</f>
      </c>
      <c r="F6" s="15">
        <f>=Dashboard!F57</f>
      </c>
      <c r="G6" s="9" t="s">
        <v>297</v>
      </c>
      <c r="H6" s="15" t="s">
        <v>252</v>
      </c>
      <c r="I6" s="15" t="s">
        <v>252</v>
      </c>
      <c r="J6" s="9">
        <f>=Dashboard!L57</f>
      </c>
    </row>
    <row r="7" spans="1:10" x14ac:dyDescent="0.25">
      <c r="A7" s="13">
        <f>=Dashboard!A58</f>
      </c>
      <c r="B7" s="6">
        <f>=Dashboard!C58</f>
      </c>
      <c r="C7" s="6">
        <f>=Dashboard!D58</f>
      </c>
      <c r="D7" s="13">
        <f>=Dashboard!E58</f>
      </c>
      <c r="E7" s="13">
        <f>=Dashboard!I58</f>
      </c>
      <c r="F7" s="13">
        <f>=Dashboard!F58</f>
      </c>
      <c r="G7" s="6" t="s">
        <v>298</v>
      </c>
      <c r="H7" s="13" t="s">
        <v>252</v>
      </c>
      <c r="I7" s="13" t="s">
        <v>252</v>
      </c>
      <c r="J7" s="6">
        <f>=Dashboard!L58</f>
      </c>
    </row>
    <row r="8" spans="1:10" x14ac:dyDescent="0.25">
      <c r="A8" s="15">
        <f>=Dashboard!A59</f>
      </c>
      <c r="B8" s="9">
        <f>=Dashboard!C59</f>
      </c>
      <c r="C8" s="9">
        <f>=Dashboard!D59</f>
      </c>
      <c r="D8" s="15">
        <f>=Dashboard!E59</f>
      </c>
      <c r="E8" s="15">
        <f>=Dashboard!I59</f>
      </c>
      <c r="F8" s="15">
        <f>=Dashboard!F59</f>
      </c>
      <c r="G8" s="9" t="s">
        <v>299</v>
      </c>
      <c r="H8" s="15" t="s">
        <v>252</v>
      </c>
      <c r="I8" s="15" t="s">
        <v>252</v>
      </c>
      <c r="J8" s="9">
        <f>=Dashboard!L59</f>
      </c>
    </row>
    <row r="9" spans="1:10" x14ac:dyDescent="0.25">
      <c r="A9" s="13">
        <f>=Dashboard!A60</f>
      </c>
      <c r="B9" s="6">
        <f>=Dashboard!C60</f>
      </c>
      <c r="C9" s="6">
        <f>=Dashboard!D60</f>
      </c>
      <c r="D9" s="13">
        <f>=Dashboard!E60</f>
      </c>
      <c r="E9" s="13">
        <f>=Dashboard!I60</f>
      </c>
      <c r="F9" s="13">
        <f>=Dashboard!F60</f>
      </c>
      <c r="G9" s="6" t="s">
        <v>300</v>
      </c>
      <c r="H9" s="13" t="s">
        <v>252</v>
      </c>
      <c r="I9" s="13" t="s">
        <v>252</v>
      </c>
      <c r="J9" s="6">
        <f>=Dashboard!L60</f>
      </c>
    </row>
  </sheetData>
  <autoFilter ref="A2:J9"/>
  <mergeCells count="1">
    <mergeCell ref="A1:J1"/>
  </mergeCells>
  <conditionalFormatting sqref="F3:F9">
    <cfRule type="cellIs" dxfId="54" priority="1" operator="equal">
      <formula>"Completed"</formula>
    </cfRule>
    <cfRule type="cellIs" dxfId="55" priority="2" operator="equal">
      <formula>"In Progress"</formula>
    </cfRule>
    <cfRule type="cellIs" dxfId="56" priority="3" operator="equal">
      <formula>"Review"</formula>
    </cfRule>
    <cfRule type="cellIs" dxfId="57" priority="4" operator="equal">
      <formula>"Blocked"</formula>
    </cfRule>
    <cfRule type="cellIs" dxfId="58" priority="5" operator="equal">
      <formula>"Not Started"</formula>
    </cfRule>
  </conditionalFormatting>
  <conditionalFormatting sqref="D3:D9">
    <cfRule type="cellIs" dxfId="59" priority="6" operator="equal">
      <formula>"Critical"</formula>
    </cfRule>
    <cfRule type="cellIs" dxfId="60" priority="7" operator="equal">
      <formula>"High"</formula>
    </cfRule>
    <cfRule type="cellIs" dxfId="61" priority="8" operator="equal">
      <formula>"Medium"</formula>
    </cfRule>
    <cfRule type="cellIs" dxfId="62" priority="9" operator="equal">
      <formula>"Low"</formula>
    </cfRule>
  </conditionalFormatting>
  <dataValidations count="2">
    <dataValidation type="list" allowBlank="1" sqref="D3:D9">
      <formula1>"Critical,High,Medium,Low"</formula1>
    </dataValidation>
    <dataValidation type="list" allowBlank="1" sqref="F3:F9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301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=Dashboard!A61</f>
      </c>
      <c r="B3" s="6">
        <f>=Dashboard!C61</f>
      </c>
      <c r="C3" s="6">
        <f>=Dashboard!D61</f>
      </c>
      <c r="D3" s="13">
        <f>=Dashboard!E61</f>
      </c>
      <c r="E3" s="13">
        <f>=Dashboard!I61</f>
      </c>
      <c r="F3" s="13">
        <f>=Dashboard!F61</f>
      </c>
      <c r="G3" s="6" t="s">
        <v>302</v>
      </c>
      <c r="H3" s="13" t="s">
        <v>252</v>
      </c>
      <c r="I3" s="13" t="s">
        <v>252</v>
      </c>
      <c r="J3" s="6">
        <f>=Dashboard!L61</f>
      </c>
    </row>
    <row r="4" spans="1:10" x14ac:dyDescent="0.25">
      <c r="A4" s="15">
        <f>=Dashboard!A62</f>
      </c>
      <c r="B4" s="9">
        <f>=Dashboard!C62</f>
      </c>
      <c r="C4" s="9">
        <f>=Dashboard!D62</f>
      </c>
      <c r="D4" s="15">
        <f>=Dashboard!E62</f>
      </c>
      <c r="E4" s="15">
        <f>=Dashboard!I62</f>
      </c>
      <c r="F4" s="15">
        <f>=Dashboard!F62</f>
      </c>
      <c r="G4" s="9" t="s">
        <v>303</v>
      </c>
      <c r="H4" s="15" t="s">
        <v>252</v>
      </c>
      <c r="I4" s="15" t="s">
        <v>252</v>
      </c>
      <c r="J4" s="9">
        <f>=Dashboard!L62</f>
      </c>
    </row>
    <row r="5" spans="1:10" x14ac:dyDescent="0.25">
      <c r="A5" s="13">
        <f>=Dashboard!A63</f>
      </c>
      <c r="B5" s="6">
        <f>=Dashboard!C63</f>
      </c>
      <c r="C5" s="6">
        <f>=Dashboard!D63</f>
      </c>
      <c r="D5" s="13">
        <f>=Dashboard!E63</f>
      </c>
      <c r="E5" s="13">
        <f>=Dashboard!I63</f>
      </c>
      <c r="F5" s="13">
        <f>=Dashboard!F63</f>
      </c>
      <c r="G5" s="6" t="s">
        <v>304</v>
      </c>
      <c r="H5" s="13" t="s">
        <v>252</v>
      </c>
      <c r="I5" s="13" t="s">
        <v>252</v>
      </c>
      <c r="J5" s="6">
        <f>=Dashboard!L63</f>
      </c>
    </row>
    <row r="6" spans="1:10" x14ac:dyDescent="0.25">
      <c r="A6" s="15">
        <f>=Dashboard!A64</f>
      </c>
      <c r="B6" s="9">
        <f>=Dashboard!C64</f>
      </c>
      <c r="C6" s="9">
        <f>=Dashboard!D64</f>
      </c>
      <c r="D6" s="15">
        <f>=Dashboard!E64</f>
      </c>
      <c r="E6" s="15">
        <f>=Dashboard!I64</f>
      </c>
      <c r="F6" s="15">
        <f>=Dashboard!F64</f>
      </c>
      <c r="G6" s="9" t="s">
        <v>305</v>
      </c>
      <c r="H6" s="15" t="s">
        <v>252</v>
      </c>
      <c r="I6" s="15" t="s">
        <v>252</v>
      </c>
      <c r="J6" s="9">
        <f>=Dashboard!L64</f>
      </c>
    </row>
    <row r="7" spans="1:10" x14ac:dyDescent="0.25">
      <c r="A7" s="13">
        <f>=Dashboard!A65</f>
      </c>
      <c r="B7" s="6">
        <f>=Dashboard!C65</f>
      </c>
      <c r="C7" s="6">
        <f>=Dashboard!D65</f>
      </c>
      <c r="D7" s="13">
        <f>=Dashboard!E65</f>
      </c>
      <c r="E7" s="13">
        <f>=Dashboard!I65</f>
      </c>
      <c r="F7" s="13">
        <f>=Dashboard!F65</f>
      </c>
      <c r="G7" s="6" t="s">
        <v>306</v>
      </c>
      <c r="H7" s="13" t="s">
        <v>252</v>
      </c>
      <c r="I7" s="13" t="s">
        <v>252</v>
      </c>
      <c r="J7" s="6">
        <f>=Dashboard!L65</f>
      </c>
    </row>
    <row r="8" spans="1:10" x14ac:dyDescent="0.25">
      <c r="A8" s="15">
        <f>=Dashboard!A66</f>
      </c>
      <c r="B8" s="9">
        <f>=Dashboard!C66</f>
      </c>
      <c r="C8" s="9">
        <f>=Dashboard!D66</f>
      </c>
      <c r="D8" s="15">
        <f>=Dashboard!E66</f>
      </c>
      <c r="E8" s="15">
        <f>=Dashboard!I66</f>
      </c>
      <c r="F8" s="15">
        <f>=Dashboard!F66</f>
      </c>
      <c r="G8" s="9" t="s">
        <v>307</v>
      </c>
      <c r="H8" s="15" t="s">
        <v>252</v>
      </c>
      <c r="I8" s="15" t="s">
        <v>250</v>
      </c>
      <c r="J8" s="9">
        <f>=Dashboard!L66</f>
      </c>
    </row>
    <row r="9" spans="1:10" x14ac:dyDescent="0.25">
      <c r="A9" s="13">
        <f>=Dashboard!A67</f>
      </c>
      <c r="B9" s="6">
        <f>=Dashboard!C67</f>
      </c>
      <c r="C9" s="6">
        <f>=Dashboard!D67</f>
      </c>
      <c r="D9" s="13">
        <f>=Dashboard!E67</f>
      </c>
      <c r="E9" s="13">
        <f>=Dashboard!I67</f>
      </c>
      <c r="F9" s="13">
        <f>=Dashboard!F67</f>
      </c>
      <c r="G9" s="6" t="s">
        <v>308</v>
      </c>
      <c r="H9" s="13" t="s">
        <v>252</v>
      </c>
      <c r="I9" s="13" t="s">
        <v>252</v>
      </c>
      <c r="J9" s="6">
        <f>=Dashboard!L67</f>
      </c>
    </row>
    <row r="10" spans="1:10" x14ac:dyDescent="0.25">
      <c r="A10" s="15">
        <f>=Dashboard!A68</f>
      </c>
      <c r="B10" s="9">
        <f>=Dashboard!C68</f>
      </c>
      <c r="C10" s="9">
        <f>=Dashboard!D68</f>
      </c>
      <c r="D10" s="15">
        <f>=Dashboard!E68</f>
      </c>
      <c r="E10" s="15">
        <f>=Dashboard!I68</f>
      </c>
      <c r="F10" s="15">
        <f>=Dashboard!F68</f>
      </c>
      <c r="G10" s="9" t="s">
        <v>309</v>
      </c>
      <c r="H10" s="15" t="s">
        <v>252</v>
      </c>
      <c r="I10" s="15" t="s">
        <v>252</v>
      </c>
      <c r="J10" s="9">
        <f>=Dashboard!L68</f>
      </c>
    </row>
  </sheetData>
  <autoFilter ref="A2:J10"/>
  <mergeCells count="1">
    <mergeCell ref="A1:J1"/>
  </mergeCells>
  <conditionalFormatting sqref="F3:F10">
    <cfRule type="cellIs" dxfId="63" priority="1" operator="equal">
      <formula>"Completed"</formula>
    </cfRule>
    <cfRule type="cellIs" dxfId="64" priority="2" operator="equal">
      <formula>"In Progress"</formula>
    </cfRule>
    <cfRule type="cellIs" dxfId="65" priority="3" operator="equal">
      <formula>"Review"</formula>
    </cfRule>
    <cfRule type="cellIs" dxfId="66" priority="4" operator="equal">
      <formula>"Blocked"</formula>
    </cfRule>
    <cfRule type="cellIs" dxfId="67" priority="5" operator="equal">
      <formula>"Not Started"</formula>
    </cfRule>
  </conditionalFormatting>
  <conditionalFormatting sqref="D3:D10">
    <cfRule type="cellIs" dxfId="68" priority="6" operator="equal">
      <formula>"Critical"</formula>
    </cfRule>
    <cfRule type="cellIs" dxfId="69" priority="7" operator="equal">
      <formula>"High"</formula>
    </cfRule>
    <cfRule type="cellIs" dxfId="70" priority="8" operator="equal">
      <formula>"Medium"</formula>
    </cfRule>
    <cfRule type="cellIs" dxfId="71" priority="9" operator="equal">
      <formula>"Low"</formula>
    </cfRule>
  </conditionalFormatting>
  <dataValidations count="4">
    <dataValidation type="list" allowBlank="1" sqref="D10">
      <formula1>"Critical,High,Medium,Low"</formula1>
    </dataValidation>
    <dataValidation type="list" allowBlank="1" sqref="D3:D10">
      <formula1>"Critical,High,Medium,Low"</formula1>
    </dataValidation>
    <dataValidation type="list" allowBlank="1" sqref="F10">
      <formula1>"Not Started,In Progress,Review,Completed,Blocked"</formula1>
    </dataValidation>
    <dataValidation type="list" allowBlank="1" sqref="F3:F1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0" width="40" customWidth="1"/>
  </cols>
  <sheetData>
    <row r="1" ht="24" customHeight="1" spans="1:10" x14ac:dyDescent="0.25">
      <c r="A1" s="34" t="s">
        <v>310</v>
      </c>
      <c r="B1" s="34"/>
      <c r="C1" s="34"/>
      <c r="D1" s="34"/>
      <c r="E1" s="34"/>
      <c r="F1" s="34"/>
      <c r="G1" s="34"/>
      <c r="H1" s="34"/>
      <c r="I1" s="34"/>
      <c r="J1" s="34"/>
    </row>
    <row r="2" ht="26" customHeight="1" spans="1:10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49</v>
      </c>
      <c r="F2" s="12" t="s">
        <v>46</v>
      </c>
      <c r="G2" s="12" t="s">
        <v>246</v>
      </c>
      <c r="H2" s="12" t="s">
        <v>247</v>
      </c>
      <c r="I2" s="12" t="s">
        <v>248</v>
      </c>
      <c r="J2" s="12" t="s">
        <v>52</v>
      </c>
    </row>
    <row r="3" spans="1:10" x14ac:dyDescent="0.25">
      <c r="A3" s="13">
        <f>=Dashboard!A69</f>
      </c>
      <c r="B3" s="6">
        <f>=Dashboard!C69</f>
      </c>
      <c r="C3" s="6">
        <f>=Dashboard!D69</f>
      </c>
      <c r="D3" s="13">
        <f>=Dashboard!E69</f>
      </c>
      <c r="E3" s="13">
        <f>=Dashboard!I69</f>
      </c>
      <c r="F3" s="13">
        <f>=Dashboard!F69</f>
      </c>
      <c r="G3" s="6" t="s">
        <v>311</v>
      </c>
      <c r="H3" s="13" t="s">
        <v>252</v>
      </c>
      <c r="I3" s="13" t="s">
        <v>252</v>
      </c>
      <c r="J3" s="6">
        <f>=Dashboard!L69</f>
      </c>
    </row>
    <row r="4" spans="1:10" x14ac:dyDescent="0.25">
      <c r="A4" s="15">
        <f>=Dashboard!A70</f>
      </c>
      <c r="B4" s="9">
        <f>=Dashboard!C70</f>
      </c>
      <c r="C4" s="9">
        <f>=Dashboard!D70</f>
      </c>
      <c r="D4" s="15">
        <f>=Dashboard!E70</f>
      </c>
      <c r="E4" s="15">
        <f>=Dashboard!I70</f>
      </c>
      <c r="F4" s="15">
        <f>=Dashboard!F70</f>
      </c>
      <c r="G4" s="9" t="s">
        <v>312</v>
      </c>
      <c r="H4" s="15" t="s">
        <v>250</v>
      </c>
      <c r="I4" s="15" t="s">
        <v>250</v>
      </c>
      <c r="J4" s="9">
        <f>=Dashboard!L70</f>
      </c>
    </row>
    <row r="5" spans="1:10" x14ac:dyDescent="0.25">
      <c r="A5" s="13">
        <f>=Dashboard!A71</f>
      </c>
      <c r="B5" s="6">
        <f>=Dashboard!C71</f>
      </c>
      <c r="C5" s="6">
        <f>=Dashboard!D71</f>
      </c>
      <c r="D5" s="13">
        <f>=Dashboard!E71</f>
      </c>
      <c r="E5" s="13">
        <f>=Dashboard!I71</f>
      </c>
      <c r="F5" s="13">
        <f>=Dashboard!F71</f>
      </c>
      <c r="G5" s="6" t="s">
        <v>313</v>
      </c>
      <c r="H5" s="13" t="s">
        <v>252</v>
      </c>
      <c r="I5" s="13" t="s">
        <v>252</v>
      </c>
      <c r="J5" s="6">
        <f>=Dashboard!L71</f>
      </c>
    </row>
  </sheetData>
  <autoFilter ref="A2:J5"/>
  <mergeCells count="1">
    <mergeCell ref="A1:J1"/>
  </mergeCells>
  <conditionalFormatting sqref="F3:F5">
    <cfRule type="cellIs" dxfId="72" priority="1" operator="equal">
      <formula>"Completed"</formula>
    </cfRule>
    <cfRule type="cellIs" dxfId="73" priority="2" operator="equal">
      <formula>"In Progress"</formula>
    </cfRule>
    <cfRule type="cellIs" dxfId="74" priority="3" operator="equal">
      <formula>"Review"</formula>
    </cfRule>
    <cfRule type="cellIs" dxfId="75" priority="4" operator="equal">
      <formula>"Blocked"</formula>
    </cfRule>
    <cfRule type="cellIs" dxfId="76" priority="5" operator="equal">
      <formula>"Not Started"</formula>
    </cfRule>
  </conditionalFormatting>
  <conditionalFormatting sqref="D3:D5">
    <cfRule type="cellIs" dxfId="77" priority="6" operator="equal">
      <formula>"Critical"</formula>
    </cfRule>
    <cfRule type="cellIs" dxfId="78" priority="7" operator="equal">
      <formula>"High"</formula>
    </cfRule>
    <cfRule type="cellIs" dxfId="79" priority="8" operator="equal">
      <formula>"Medium"</formula>
    </cfRule>
    <cfRule type="cellIs" dxfId="80" priority="9" operator="equal">
      <formula>"Low"</formula>
    </cfRule>
  </conditionalFormatting>
  <dataValidations count="2">
    <dataValidation type="list" allowBlank="1" sqref="D3:D5">
      <formula1>"Critical,High,Medium,Low"</formula1>
    </dataValidation>
    <dataValidation type="list" allowBlank="1" sqref="F3:F5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314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=Dashboard!A31</f>
      </c>
      <c r="B3" s="6">
        <f>=Dashboard!C31</f>
      </c>
      <c r="C3" s="6">
        <f>=Dashboard!D31</f>
      </c>
      <c r="D3" s="13">
        <f>=Dashboard!E31</f>
      </c>
      <c r="E3" s="13">
        <f>=Dashboard!F31</f>
      </c>
      <c r="F3" s="13">
        <f>=Dashboard!H31</f>
      </c>
      <c r="G3" s="13">
        <f>=Dashboard!I31</f>
      </c>
      <c r="H3" s="13">
        <f>=Dashboard!J31</f>
      </c>
      <c r="I3" s="6">
        <f>=Dashboard!L31</f>
      </c>
    </row>
    <row r="4" spans="1:9" x14ac:dyDescent="0.25">
      <c r="A4" s="15">
        <f>=Dashboard!A33</f>
      </c>
      <c r="B4" s="9">
        <f>=Dashboard!C33</f>
      </c>
      <c r="C4" s="9">
        <f>=Dashboard!D33</f>
      </c>
      <c r="D4" s="15">
        <f>=Dashboard!E33</f>
      </c>
      <c r="E4" s="15">
        <f>=Dashboard!F33</f>
      </c>
      <c r="F4" s="15">
        <f>=Dashboard!H33</f>
      </c>
      <c r="G4" s="15">
        <f>=Dashboard!I33</f>
      </c>
      <c r="H4" s="15">
        <f>=Dashboard!J33</f>
      </c>
      <c r="I4" s="9">
        <f>=Dashboard!L33</f>
      </c>
    </row>
    <row r="5" spans="1:9" x14ac:dyDescent="0.25">
      <c r="A5" s="13">
        <f>=Dashboard!A34</f>
      </c>
      <c r="B5" s="6">
        <f>=Dashboard!C34</f>
      </c>
      <c r="C5" s="6">
        <f>=Dashboard!D34</f>
      </c>
      <c r="D5" s="13">
        <f>=Dashboard!E34</f>
      </c>
      <c r="E5" s="13">
        <f>=Dashboard!F34</f>
      </c>
      <c r="F5" s="13">
        <f>=Dashboard!H34</f>
      </c>
      <c r="G5" s="13">
        <f>=Dashboard!I34</f>
      </c>
      <c r="H5" s="13">
        <f>=Dashboard!J34</f>
      </c>
      <c r="I5" s="6">
        <f>=Dashboard!L34</f>
      </c>
    </row>
    <row r="6" spans="1:9" x14ac:dyDescent="0.25">
      <c r="A6" s="15">
        <f>=Dashboard!A39</f>
      </c>
      <c r="B6" s="9">
        <f>=Dashboard!C39</f>
      </c>
      <c r="C6" s="9">
        <f>=Dashboard!D39</f>
      </c>
      <c r="D6" s="15">
        <f>=Dashboard!E39</f>
      </c>
      <c r="E6" s="15">
        <f>=Dashboard!F39</f>
      </c>
      <c r="F6" s="15">
        <f>=Dashboard!H39</f>
      </c>
      <c r="G6" s="15">
        <f>=Dashboard!I39</f>
      </c>
      <c r="H6" s="15">
        <f>=Dashboard!J39</f>
      </c>
      <c r="I6" s="9">
        <f>=Dashboard!L39</f>
      </c>
    </row>
    <row r="7" spans="1:9" x14ac:dyDescent="0.25">
      <c r="A7" s="13">
        <f>=Dashboard!A43</f>
      </c>
      <c r="B7" s="6">
        <f>=Dashboard!C43</f>
      </c>
      <c r="C7" s="6">
        <f>=Dashboard!D43</f>
      </c>
      <c r="D7" s="13">
        <f>=Dashboard!E43</f>
      </c>
      <c r="E7" s="13">
        <f>=Dashboard!F43</f>
      </c>
      <c r="F7" s="13">
        <f>=Dashboard!H43</f>
      </c>
      <c r="G7" s="13">
        <f>=Dashboard!I43</f>
      </c>
      <c r="H7" s="13">
        <f>=Dashboard!J43</f>
      </c>
      <c r="I7" s="6">
        <f>=Dashboard!L43</f>
      </c>
    </row>
    <row r="8" spans="1:9" x14ac:dyDescent="0.25">
      <c r="A8" s="15">
        <f>=Dashboard!A49</f>
      </c>
      <c r="B8" s="9">
        <f>=Dashboard!C49</f>
      </c>
      <c r="C8" s="9">
        <f>=Dashboard!D49</f>
      </c>
      <c r="D8" s="15">
        <f>=Dashboard!E49</f>
      </c>
      <c r="E8" s="15">
        <f>=Dashboard!F49</f>
      </c>
      <c r="F8" s="15">
        <f>=Dashboard!H49</f>
      </c>
      <c r="G8" s="15">
        <f>=Dashboard!I49</f>
      </c>
      <c r="H8" s="15">
        <f>=Dashboard!J49</f>
      </c>
      <c r="I8" s="9">
        <f>=Dashboard!L49</f>
      </c>
    </row>
    <row r="9" spans="1:9" x14ac:dyDescent="0.25">
      <c r="A9" s="13">
        <f>=Dashboard!A55</f>
      </c>
      <c r="B9" s="6">
        <f>=Dashboard!C55</f>
      </c>
      <c r="C9" s="6">
        <f>=Dashboard!D55</f>
      </c>
      <c r="D9" s="13">
        <f>=Dashboard!E55</f>
      </c>
      <c r="E9" s="13">
        <f>=Dashboard!F55</f>
      </c>
      <c r="F9" s="13">
        <f>=Dashboard!H55</f>
      </c>
      <c r="G9" s="13">
        <f>=Dashboard!I55</f>
      </c>
      <c r="H9" s="13">
        <f>=Dashboard!J55</f>
      </c>
      <c r="I9" s="6">
        <f>=Dashboard!L55</f>
      </c>
    </row>
    <row r="10" spans="1:9" x14ac:dyDescent="0.25">
      <c r="A10" s="15">
        <f>=Dashboard!A61</f>
      </c>
      <c r="B10" s="9">
        <f>=Dashboard!C61</f>
      </c>
      <c r="C10" s="9">
        <f>=Dashboard!D61</f>
      </c>
      <c r="D10" s="15">
        <f>=Dashboard!E61</f>
      </c>
      <c r="E10" s="15">
        <f>=Dashboard!F61</f>
      </c>
      <c r="F10" s="15">
        <f>=Dashboard!H61</f>
      </c>
      <c r="G10" s="15">
        <f>=Dashboard!I61</f>
      </c>
      <c r="H10" s="15">
        <f>=Dashboard!J61</f>
      </c>
      <c r="I10" s="9">
        <f>=Dashboard!L61</f>
      </c>
    </row>
    <row r="11" spans="1:9" x14ac:dyDescent="0.25">
      <c r="A11" s="13">
        <f>=Dashboard!A62</f>
      </c>
      <c r="B11" s="6">
        <f>=Dashboard!C62</f>
      </c>
      <c r="C11" s="6">
        <f>=Dashboard!D62</f>
      </c>
      <c r="D11" s="13">
        <f>=Dashboard!E62</f>
      </c>
      <c r="E11" s="13">
        <f>=Dashboard!F62</f>
      </c>
      <c r="F11" s="13">
        <f>=Dashboard!H62</f>
      </c>
      <c r="G11" s="13">
        <f>=Dashboard!I62</f>
      </c>
      <c r="H11" s="13">
        <f>=Dashboard!J62</f>
      </c>
      <c r="I11" s="6">
        <f>=Dashboard!L62</f>
      </c>
    </row>
  </sheetData>
  <autoFilter ref="A2:I11"/>
  <mergeCells count="1">
    <mergeCell ref="A1:I1"/>
  </mergeCells>
  <conditionalFormatting sqref="E3:E11">
    <cfRule type="cellIs" dxfId="81" priority="1" operator="equal">
      <formula>"Completed"</formula>
    </cfRule>
    <cfRule type="cellIs" dxfId="82" priority="2" operator="equal">
      <formula>"In Progress"</formula>
    </cfRule>
    <cfRule type="cellIs" dxfId="83" priority="3" operator="equal">
      <formula>"Review"</formula>
    </cfRule>
    <cfRule type="cellIs" dxfId="84" priority="4" operator="equal">
      <formula>"Blocked"</formula>
    </cfRule>
    <cfRule type="cellIs" dxfId="85" priority="5" operator="equal">
      <formula>"Not Started"</formula>
    </cfRule>
  </conditionalFormatting>
  <conditionalFormatting sqref="D3:D11">
    <cfRule type="cellIs" dxfId="86" priority="6" operator="equal">
      <formula>"Critical"</formula>
    </cfRule>
    <cfRule type="cellIs" dxfId="87" priority="7" operator="equal">
      <formula>"High"</formula>
    </cfRule>
    <cfRule type="cellIs" dxfId="88" priority="8" operator="equal">
      <formula>"Medium"</formula>
    </cfRule>
    <cfRule type="cellIs" dxfId="89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315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=Dashboard!A25</f>
      </c>
      <c r="B3" s="6">
        <f>=Dashboard!C25</f>
      </c>
      <c r="C3" s="6">
        <f>=Dashboard!D25</f>
      </c>
      <c r="D3" s="13">
        <f>=Dashboard!E25</f>
      </c>
      <c r="E3" s="13">
        <f>=Dashboard!F25</f>
      </c>
      <c r="F3" s="13">
        <f>=Dashboard!H25</f>
      </c>
      <c r="G3" s="13">
        <f>=Dashboard!I25</f>
      </c>
      <c r="H3" s="13">
        <f>=Dashboard!J25</f>
      </c>
      <c r="I3" s="6">
        <f>=Dashboard!L25</f>
      </c>
    </row>
    <row r="4" spans="1:9" x14ac:dyDescent="0.25">
      <c r="A4" s="15">
        <f>=Dashboard!A26</f>
      </c>
      <c r="B4" s="9">
        <f>=Dashboard!C26</f>
      </c>
      <c r="C4" s="9">
        <f>=Dashboard!D26</f>
      </c>
      <c r="D4" s="15">
        <f>=Dashboard!E26</f>
      </c>
      <c r="E4" s="15">
        <f>=Dashboard!F26</f>
      </c>
      <c r="F4" s="15">
        <f>=Dashboard!H26</f>
      </c>
      <c r="G4" s="15">
        <f>=Dashboard!I26</f>
      </c>
      <c r="H4" s="15">
        <f>=Dashboard!J26</f>
      </c>
      <c r="I4" s="9">
        <f>=Dashboard!L26</f>
      </c>
    </row>
    <row r="5" spans="1:9" x14ac:dyDescent="0.25">
      <c r="A5" s="13">
        <f>=Dashboard!A27</f>
      </c>
      <c r="B5" s="6">
        <f>=Dashboard!C27</f>
      </c>
      <c r="C5" s="6">
        <f>=Dashboard!D27</f>
      </c>
      <c r="D5" s="13">
        <f>=Dashboard!E27</f>
      </c>
      <c r="E5" s="13">
        <f>=Dashboard!F27</f>
      </c>
      <c r="F5" s="13">
        <f>=Dashboard!H27</f>
      </c>
      <c r="G5" s="13">
        <f>=Dashboard!I27</f>
      </c>
      <c r="H5" s="13">
        <f>=Dashboard!J27</f>
      </c>
      <c r="I5" s="6">
        <f>=Dashboard!L27</f>
      </c>
    </row>
    <row r="6" spans="1:9" x14ac:dyDescent="0.25">
      <c r="A6" s="15">
        <f>=Dashboard!A28</f>
      </c>
      <c r="B6" s="9">
        <f>=Dashboard!C28</f>
      </c>
      <c r="C6" s="9">
        <f>=Dashboard!D28</f>
      </c>
      <c r="D6" s="15">
        <f>=Dashboard!E28</f>
      </c>
      <c r="E6" s="15">
        <f>=Dashboard!F28</f>
      </c>
      <c r="F6" s="15">
        <f>=Dashboard!H28</f>
      </c>
      <c r="G6" s="15">
        <f>=Dashboard!I28</f>
      </c>
      <c r="H6" s="15">
        <f>=Dashboard!J28</f>
      </c>
      <c r="I6" s="9">
        <f>=Dashboard!L28</f>
      </c>
    </row>
    <row r="7" spans="1:9" x14ac:dyDescent="0.25">
      <c r="A7" s="13">
        <f>=Dashboard!A29</f>
      </c>
      <c r="B7" s="6">
        <f>=Dashboard!C29</f>
      </c>
      <c r="C7" s="6">
        <f>=Dashboard!D29</f>
      </c>
      <c r="D7" s="13">
        <f>=Dashboard!E29</f>
      </c>
      <c r="E7" s="13">
        <f>=Dashboard!F29</f>
      </c>
      <c r="F7" s="13">
        <f>=Dashboard!H29</f>
      </c>
      <c r="G7" s="13">
        <f>=Dashboard!I29</f>
      </c>
      <c r="H7" s="13">
        <f>=Dashboard!J29</f>
      </c>
      <c r="I7" s="6">
        <f>=Dashboard!L29</f>
      </c>
    </row>
    <row r="8" spans="1:9" x14ac:dyDescent="0.25">
      <c r="A8" s="15">
        <f>=Dashboard!A30</f>
      </c>
      <c r="B8" s="9">
        <f>=Dashboard!C30</f>
      </c>
      <c r="C8" s="9">
        <f>=Dashboard!D30</f>
      </c>
      <c r="D8" s="15">
        <f>=Dashboard!E30</f>
      </c>
      <c r="E8" s="15">
        <f>=Dashboard!F30</f>
      </c>
      <c r="F8" s="15">
        <f>=Dashboard!H30</f>
      </c>
      <c r="G8" s="15">
        <f>=Dashboard!I30</f>
      </c>
      <c r="H8" s="15">
        <f>=Dashboard!J30</f>
      </c>
      <c r="I8" s="9">
        <f>=Dashboard!L30</f>
      </c>
    </row>
    <row r="9" spans="1:9" x14ac:dyDescent="0.25">
      <c r="A9" s="13">
        <f>=Dashboard!A35</f>
      </c>
      <c r="B9" s="6">
        <f>=Dashboard!C35</f>
      </c>
      <c r="C9" s="6">
        <f>=Dashboard!D35</f>
      </c>
      <c r="D9" s="13">
        <f>=Dashboard!E35</f>
      </c>
      <c r="E9" s="13">
        <f>=Dashboard!F35</f>
      </c>
      <c r="F9" s="13">
        <f>=Dashboard!H35</f>
      </c>
      <c r="G9" s="13">
        <f>=Dashboard!I35</f>
      </c>
      <c r="H9" s="13">
        <f>=Dashboard!J35</f>
      </c>
      <c r="I9" s="6">
        <f>=Dashboard!L35</f>
      </c>
    </row>
    <row r="10" spans="1:9" x14ac:dyDescent="0.25">
      <c r="A10" s="15">
        <f>=Dashboard!A40</f>
      </c>
      <c r="B10" s="9">
        <f>=Dashboard!C40</f>
      </c>
      <c r="C10" s="9">
        <f>=Dashboard!D40</f>
      </c>
      <c r="D10" s="15">
        <f>=Dashboard!E40</f>
      </c>
      <c r="E10" s="15">
        <f>=Dashboard!F40</f>
      </c>
      <c r="F10" s="15">
        <f>=Dashboard!H40</f>
      </c>
      <c r="G10" s="15">
        <f>=Dashboard!I40</f>
      </c>
      <c r="H10" s="15">
        <f>=Dashboard!J40</f>
      </c>
      <c r="I10" s="9">
        <f>=Dashboard!L40</f>
      </c>
    </row>
    <row r="11" spans="1:9" x14ac:dyDescent="0.25">
      <c r="A11" s="13">
        <f>=Dashboard!A44</f>
      </c>
      <c r="B11" s="6">
        <f>=Dashboard!C44</f>
      </c>
      <c r="C11" s="6">
        <f>=Dashboard!D44</f>
      </c>
      <c r="D11" s="13">
        <f>=Dashboard!E44</f>
      </c>
      <c r="E11" s="13">
        <f>=Dashboard!F44</f>
      </c>
      <c r="F11" s="13">
        <f>=Dashboard!H44</f>
      </c>
      <c r="G11" s="13">
        <f>=Dashboard!I44</f>
      </c>
      <c r="H11" s="13">
        <f>=Dashboard!J44</f>
      </c>
      <c r="I11" s="6">
        <f>=Dashboard!L44</f>
      </c>
    </row>
    <row r="12" spans="1:9" x14ac:dyDescent="0.25">
      <c r="A12" s="15">
        <f>=Dashboard!A50</f>
      </c>
      <c r="B12" s="9">
        <f>=Dashboard!C50</f>
      </c>
      <c r="C12" s="9">
        <f>=Dashboard!D50</f>
      </c>
      <c r="D12" s="15">
        <f>=Dashboard!E50</f>
      </c>
      <c r="E12" s="15">
        <f>=Dashboard!F50</f>
      </c>
      <c r="F12" s="15">
        <f>=Dashboard!H50</f>
      </c>
      <c r="G12" s="15">
        <f>=Dashboard!I50</f>
      </c>
      <c r="H12" s="15">
        <f>=Dashboard!J50</f>
      </c>
      <c r="I12" s="9">
        <f>=Dashboard!L50</f>
      </c>
    </row>
    <row r="13" spans="1:9" x14ac:dyDescent="0.25">
      <c r="A13" s="13">
        <f>=Dashboard!A56</f>
      </c>
      <c r="B13" s="6">
        <f>=Dashboard!C56</f>
      </c>
      <c r="C13" s="6">
        <f>=Dashboard!D56</f>
      </c>
      <c r="D13" s="13">
        <f>=Dashboard!E56</f>
      </c>
      <c r="E13" s="13">
        <f>=Dashboard!F56</f>
      </c>
      <c r="F13" s="13">
        <f>=Dashboard!H56</f>
      </c>
      <c r="G13" s="13">
        <f>=Dashboard!I56</f>
      </c>
      <c r="H13" s="13">
        <f>=Dashboard!J56</f>
      </c>
      <c r="I13" s="6">
        <f>=Dashboard!L56</f>
      </c>
    </row>
    <row r="14" spans="1:9" x14ac:dyDescent="0.25">
      <c r="A14" s="15">
        <f>=Dashboard!A64</f>
      </c>
      <c r="B14" s="9">
        <f>=Dashboard!C64</f>
      </c>
      <c r="C14" s="9">
        <f>=Dashboard!D64</f>
      </c>
      <c r="D14" s="15">
        <f>=Dashboard!E64</f>
      </c>
      <c r="E14" s="15">
        <f>=Dashboard!F64</f>
      </c>
      <c r="F14" s="15">
        <f>=Dashboard!H64</f>
      </c>
      <c r="G14" s="15">
        <f>=Dashboard!I64</f>
      </c>
      <c r="H14" s="15">
        <f>=Dashboard!J64</f>
      </c>
      <c r="I14" s="9">
        <f>=Dashboard!L64</f>
      </c>
    </row>
  </sheetData>
  <autoFilter ref="A2:I14"/>
  <mergeCells count="1">
    <mergeCell ref="A1:I1"/>
  </mergeCells>
  <conditionalFormatting sqref="E3:E14">
    <cfRule type="cellIs" dxfId="90" priority="1" operator="equal">
      <formula>"Completed"</formula>
    </cfRule>
    <cfRule type="cellIs" dxfId="91" priority="2" operator="equal">
      <formula>"In Progress"</formula>
    </cfRule>
    <cfRule type="cellIs" dxfId="92" priority="3" operator="equal">
      <formula>"Review"</formula>
    </cfRule>
    <cfRule type="cellIs" dxfId="93" priority="4" operator="equal">
      <formula>"Blocked"</formula>
    </cfRule>
    <cfRule type="cellIs" dxfId="94" priority="5" operator="equal">
      <formula>"Not Started"</formula>
    </cfRule>
  </conditionalFormatting>
  <conditionalFormatting sqref="D3:D14">
    <cfRule type="cellIs" dxfId="95" priority="6" operator="equal">
      <formula>"Critical"</formula>
    </cfRule>
    <cfRule type="cellIs" dxfId="96" priority="7" operator="equal">
      <formula>"High"</formula>
    </cfRule>
    <cfRule type="cellIs" dxfId="97" priority="8" operator="equal">
      <formula>"Medium"</formula>
    </cfRule>
    <cfRule type="cellIs" dxfId="98" priority="9" operator="equal">
      <formula>"Low"</formula>
    </cfRule>
  </conditionalFormatting>
  <dataValidations count="4">
    <dataValidation type="list" allowBlank="1" sqref="D10:D14">
      <formula1>"Critical,High,Medium,Low"</formula1>
    </dataValidation>
    <dataValidation type="list" allowBlank="1" sqref="D3:D14">
      <formula1>"Critical,High,Medium,Low"</formula1>
    </dataValidation>
    <dataValidation type="list" allowBlank="1" sqref="E10:E14">
      <formula1>"Not Started,In Progress,Review,Completed,Blocked"</formula1>
    </dataValidation>
    <dataValidation type="list" allowBlank="1" sqref="E3:E14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316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=Dashboard!A20</f>
      </c>
      <c r="B3" s="6">
        <f>=Dashboard!C20</f>
      </c>
      <c r="C3" s="6">
        <f>=Dashboard!D20</f>
      </c>
      <c r="D3" s="13">
        <f>=Dashboard!E20</f>
      </c>
      <c r="E3" s="13">
        <f>=Dashboard!F20</f>
      </c>
      <c r="F3" s="13">
        <f>=Dashboard!H20</f>
      </c>
      <c r="G3" s="13">
        <f>=Dashboard!I20</f>
      </c>
      <c r="H3" s="13">
        <f>=Dashboard!J20</f>
      </c>
      <c r="I3" s="6">
        <f>=Dashboard!L20</f>
      </c>
    </row>
    <row r="4" spans="1:9" x14ac:dyDescent="0.25">
      <c r="A4" s="15">
        <f>=Dashboard!A32</f>
      </c>
      <c r="B4" s="9">
        <f>=Dashboard!C32</f>
      </c>
      <c r="C4" s="9">
        <f>=Dashboard!D32</f>
      </c>
      <c r="D4" s="15">
        <f>=Dashboard!E32</f>
      </c>
      <c r="E4" s="15">
        <f>=Dashboard!F32</f>
      </c>
      <c r="F4" s="15">
        <f>=Dashboard!H32</f>
      </c>
      <c r="G4" s="15">
        <f>=Dashboard!I32</f>
      </c>
      <c r="H4" s="15">
        <f>=Dashboard!J32</f>
      </c>
      <c r="I4" s="9">
        <f>=Dashboard!L32</f>
      </c>
    </row>
    <row r="5" spans="1:9" x14ac:dyDescent="0.25">
      <c r="A5" s="13">
        <f>=Dashboard!A38</f>
      </c>
      <c r="B5" s="6">
        <f>=Dashboard!C38</f>
      </c>
      <c r="C5" s="6">
        <f>=Dashboard!D38</f>
      </c>
      <c r="D5" s="13">
        <f>=Dashboard!E38</f>
      </c>
      <c r="E5" s="13">
        <f>=Dashboard!F38</f>
      </c>
      <c r="F5" s="13">
        <f>=Dashboard!H38</f>
      </c>
      <c r="G5" s="13">
        <f>=Dashboard!I38</f>
      </c>
      <c r="H5" s="13">
        <f>=Dashboard!J38</f>
      </c>
      <c r="I5" s="6">
        <f>=Dashboard!L38</f>
      </c>
    </row>
    <row r="6" spans="1:9" x14ac:dyDescent="0.25">
      <c r="A6" s="15">
        <f>=Dashboard!A42</f>
      </c>
      <c r="B6" s="9">
        <f>=Dashboard!C42</f>
      </c>
      <c r="C6" s="9">
        <f>=Dashboard!D42</f>
      </c>
      <c r="D6" s="15">
        <f>=Dashboard!E42</f>
      </c>
      <c r="E6" s="15">
        <f>=Dashboard!F42</f>
      </c>
      <c r="F6" s="15">
        <f>=Dashboard!H42</f>
      </c>
      <c r="G6" s="15">
        <f>=Dashboard!I42</f>
      </c>
      <c r="H6" s="15">
        <f>=Dashboard!J42</f>
      </c>
      <c r="I6" s="9">
        <f>=Dashboard!L42</f>
      </c>
    </row>
    <row r="7" spans="1:9" x14ac:dyDescent="0.25">
      <c r="A7" s="13">
        <f>=Dashboard!A46</f>
      </c>
      <c r="B7" s="6">
        <f>=Dashboard!C46</f>
      </c>
      <c r="C7" s="6">
        <f>=Dashboard!D46</f>
      </c>
      <c r="D7" s="13">
        <f>=Dashboard!E46</f>
      </c>
      <c r="E7" s="13">
        <f>=Dashboard!F46</f>
      </c>
      <c r="F7" s="13">
        <f>=Dashboard!H46</f>
      </c>
      <c r="G7" s="13">
        <f>=Dashboard!I46</f>
      </c>
      <c r="H7" s="13">
        <f>=Dashboard!J46</f>
      </c>
      <c r="I7" s="6">
        <f>=Dashboard!L46</f>
      </c>
    </row>
    <row r="8" spans="1:9" x14ac:dyDescent="0.25">
      <c r="A8" s="15">
        <f>=Dashboard!A69</f>
      </c>
      <c r="B8" s="9">
        <f>=Dashboard!C69</f>
      </c>
      <c r="C8" s="9">
        <f>=Dashboard!D69</f>
      </c>
      <c r="D8" s="15">
        <f>=Dashboard!E69</f>
      </c>
      <c r="E8" s="15">
        <f>=Dashboard!F69</f>
      </c>
      <c r="F8" s="15">
        <f>=Dashboard!H69</f>
      </c>
      <c r="G8" s="15">
        <f>=Dashboard!I69</f>
      </c>
      <c r="H8" s="15">
        <f>=Dashboard!J69</f>
      </c>
      <c r="I8" s="9">
        <f>=Dashboard!L69</f>
      </c>
    </row>
  </sheetData>
  <autoFilter ref="A2:I8"/>
  <mergeCells count="1">
    <mergeCell ref="A1:I1"/>
  </mergeCells>
  <conditionalFormatting sqref="E3:E8">
    <cfRule type="cellIs" dxfId="99" priority="1" operator="equal">
      <formula>"Completed"</formula>
    </cfRule>
    <cfRule type="cellIs" dxfId="100" priority="2" operator="equal">
      <formula>"In Progress"</formula>
    </cfRule>
    <cfRule type="cellIs" dxfId="101" priority="3" operator="equal">
      <formula>"Review"</formula>
    </cfRule>
    <cfRule type="cellIs" dxfId="102" priority="4" operator="equal">
      <formula>"Blocked"</formula>
    </cfRule>
    <cfRule type="cellIs" dxfId="103" priority="5" operator="equal">
      <formula>"Not Started"</formula>
    </cfRule>
  </conditionalFormatting>
  <conditionalFormatting sqref="D3:D8">
    <cfRule type="cellIs" dxfId="104" priority="6" operator="equal">
      <formula>"Critical"</formula>
    </cfRule>
    <cfRule type="cellIs" dxfId="105" priority="7" operator="equal">
      <formula>"High"</formula>
    </cfRule>
    <cfRule type="cellIs" dxfId="106" priority="8" operator="equal">
      <formula>"Medium"</formula>
    </cfRule>
    <cfRule type="cellIs" dxfId="107" priority="9" operator="equal">
      <formula>"Low"</formula>
    </cfRule>
  </conditionalFormatting>
  <dataValidations count="2">
    <dataValidation type="list" allowBlank="1" sqref="D3:D8">
      <formula1>"Critical,High,Medium,Low"</formula1>
    </dataValidation>
    <dataValidation type="list" allowBlank="1" sqref="E3:E8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317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=Dashboard!A47</f>
      </c>
      <c r="B3" s="6">
        <f>=Dashboard!C47</f>
      </c>
      <c r="C3" s="6">
        <f>=Dashboard!D47</f>
      </c>
      <c r="D3" s="13">
        <f>=Dashboard!E47</f>
      </c>
      <c r="E3" s="13">
        <f>=Dashboard!F47</f>
      </c>
      <c r="F3" s="13">
        <f>=Dashboard!H47</f>
      </c>
      <c r="G3" s="13">
        <f>=Dashboard!I47</f>
      </c>
      <c r="H3" s="13">
        <f>=Dashboard!J47</f>
      </c>
      <c r="I3" s="6">
        <f>=Dashboard!L47</f>
      </c>
    </row>
    <row r="4" spans="1:9" x14ac:dyDescent="0.25">
      <c r="A4" s="15">
        <f>=Dashboard!A48</f>
      </c>
      <c r="B4" s="9">
        <f>=Dashboard!C48</f>
      </c>
      <c r="C4" s="9">
        <f>=Dashboard!D48</f>
      </c>
      <c r="D4" s="15">
        <f>=Dashboard!E48</f>
      </c>
      <c r="E4" s="15">
        <f>=Dashboard!F48</f>
      </c>
      <c r="F4" s="15">
        <f>=Dashboard!H48</f>
      </c>
      <c r="G4" s="15">
        <f>=Dashboard!I48</f>
      </c>
      <c r="H4" s="15">
        <f>=Dashboard!J48</f>
      </c>
      <c r="I4" s="9">
        <f>=Dashboard!L48</f>
      </c>
    </row>
    <row r="5" spans="1:9" x14ac:dyDescent="0.25">
      <c r="A5" s="13">
        <f>=Dashboard!A54</f>
      </c>
      <c r="B5" s="6">
        <f>=Dashboard!C54</f>
      </c>
      <c r="C5" s="6">
        <f>=Dashboard!D54</f>
      </c>
      <c r="D5" s="13">
        <f>=Dashboard!E54</f>
      </c>
      <c r="E5" s="13">
        <f>=Dashboard!F54</f>
      </c>
      <c r="F5" s="13">
        <f>=Dashboard!H54</f>
      </c>
      <c r="G5" s="13">
        <f>=Dashboard!I54</f>
      </c>
      <c r="H5" s="13">
        <f>=Dashboard!J54</f>
      </c>
      <c r="I5" s="6">
        <f>=Dashboard!L54</f>
      </c>
    </row>
    <row r="6" spans="1:9" x14ac:dyDescent="0.25">
      <c r="A6" s="15">
        <f>=Dashboard!A63</f>
      </c>
      <c r="B6" s="9">
        <f>=Dashboard!C63</f>
      </c>
      <c r="C6" s="9">
        <f>=Dashboard!D63</f>
      </c>
      <c r="D6" s="15">
        <f>=Dashboard!E63</f>
      </c>
      <c r="E6" s="15">
        <f>=Dashboard!F63</f>
      </c>
      <c r="F6" s="15">
        <f>=Dashboard!H63</f>
      </c>
      <c r="G6" s="15">
        <f>=Dashboard!I63</f>
      </c>
      <c r="H6" s="15">
        <f>=Dashboard!J63</f>
      </c>
      <c r="I6" s="9">
        <f>=Dashboard!L63</f>
      </c>
    </row>
  </sheetData>
  <autoFilter ref="A2:I6"/>
  <mergeCells count="1">
    <mergeCell ref="A1:I1"/>
  </mergeCells>
  <conditionalFormatting sqref="E3:E6">
    <cfRule type="cellIs" dxfId="108" priority="1" operator="equal">
      <formula>"Completed"</formula>
    </cfRule>
    <cfRule type="cellIs" dxfId="109" priority="2" operator="equal">
      <formula>"In Progress"</formula>
    </cfRule>
    <cfRule type="cellIs" dxfId="110" priority="3" operator="equal">
      <formula>"Review"</formula>
    </cfRule>
    <cfRule type="cellIs" dxfId="111" priority="4" operator="equal">
      <formula>"Blocked"</formula>
    </cfRule>
    <cfRule type="cellIs" dxfId="112" priority="5" operator="equal">
      <formula>"Not Started"</formula>
    </cfRule>
  </conditionalFormatting>
  <conditionalFormatting sqref="D3:D6">
    <cfRule type="cellIs" dxfId="113" priority="6" operator="equal">
      <formula>"Critical"</formula>
    </cfRule>
    <cfRule type="cellIs" dxfId="114" priority="7" operator="equal">
      <formula>"High"</formula>
    </cfRule>
    <cfRule type="cellIs" dxfId="115" priority="8" operator="equal">
      <formula>"Medium"</formula>
    </cfRule>
    <cfRule type="cellIs" dxfId="116" priority="9" operator="equal">
      <formula>"Low"</formula>
    </cfRule>
  </conditionalFormatting>
  <dataValidations count="2">
    <dataValidation type="list" allowBlank="1" sqref="D3:D6">
      <formula1>"Critical,High,Medium,Low"</formula1>
    </dataValidation>
    <dataValidation type="list" allowBlank="1" sqref="E3:E6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318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=Dashboard!A51</f>
      </c>
      <c r="B3" s="6">
        <f>=Dashboard!C51</f>
      </c>
      <c r="C3" s="6">
        <f>=Dashboard!D51</f>
      </c>
      <c r="D3" s="13">
        <f>=Dashboard!E51</f>
      </c>
      <c r="E3" s="13">
        <f>=Dashboard!F51</f>
      </c>
      <c r="F3" s="13">
        <f>=Dashboard!H51</f>
      </c>
      <c r="G3" s="13">
        <f>=Dashboard!I51</f>
      </c>
      <c r="H3" s="13">
        <f>=Dashboard!J51</f>
      </c>
      <c r="I3" s="6">
        <f>=Dashboard!L51</f>
      </c>
    </row>
    <row r="4" spans="1:9" x14ac:dyDescent="0.25">
      <c r="A4" s="15">
        <f>=Dashboard!A52</f>
      </c>
      <c r="B4" s="9">
        <f>=Dashboard!C52</f>
      </c>
      <c r="C4" s="9">
        <f>=Dashboard!D52</f>
      </c>
      <c r="D4" s="15">
        <f>=Dashboard!E52</f>
      </c>
      <c r="E4" s="15">
        <f>=Dashboard!F52</f>
      </c>
      <c r="F4" s="15">
        <f>=Dashboard!H52</f>
      </c>
      <c r="G4" s="15">
        <f>=Dashboard!I52</f>
      </c>
      <c r="H4" s="15">
        <f>=Dashboard!J52</f>
      </c>
      <c r="I4" s="9">
        <f>=Dashboard!L52</f>
      </c>
    </row>
    <row r="5" spans="1:9" x14ac:dyDescent="0.25">
      <c r="A5" s="13">
        <f>=Dashboard!A53</f>
      </c>
      <c r="B5" s="6">
        <f>=Dashboard!C53</f>
      </c>
      <c r="C5" s="6">
        <f>=Dashboard!D53</f>
      </c>
      <c r="D5" s="13">
        <f>=Dashboard!E53</f>
      </c>
      <c r="E5" s="13">
        <f>=Dashboard!F53</f>
      </c>
      <c r="F5" s="13">
        <f>=Dashboard!H53</f>
      </c>
      <c r="G5" s="13">
        <f>=Dashboard!I53</f>
      </c>
      <c r="H5" s="13">
        <f>=Dashboard!J53</f>
      </c>
      <c r="I5" s="6">
        <f>=Dashboard!L53</f>
      </c>
    </row>
    <row r="6" spans="1:9" x14ac:dyDescent="0.25">
      <c r="A6" s="15">
        <f>=Dashboard!A59</f>
      </c>
      <c r="B6" s="9">
        <f>=Dashboard!C59</f>
      </c>
      <c r="C6" s="9">
        <f>=Dashboard!D59</f>
      </c>
      <c r="D6" s="15">
        <f>=Dashboard!E59</f>
      </c>
      <c r="E6" s="15">
        <f>=Dashboard!F59</f>
      </c>
      <c r="F6" s="15">
        <f>=Dashboard!H59</f>
      </c>
      <c r="G6" s="15">
        <f>=Dashboard!I59</f>
      </c>
      <c r="H6" s="15">
        <f>=Dashboard!J59</f>
      </c>
      <c r="I6" s="9">
        <f>=Dashboard!L59</f>
      </c>
    </row>
    <row r="7" spans="1:9" x14ac:dyDescent="0.25">
      <c r="A7" s="13">
        <f>=Dashboard!A60</f>
      </c>
      <c r="B7" s="6">
        <f>=Dashboard!C60</f>
      </c>
      <c r="C7" s="6">
        <f>=Dashboard!D60</f>
      </c>
      <c r="D7" s="13">
        <f>=Dashboard!E60</f>
      </c>
      <c r="E7" s="13">
        <f>=Dashboard!F60</f>
      </c>
      <c r="F7" s="13">
        <f>=Dashboard!H60</f>
      </c>
      <c r="G7" s="13">
        <f>=Dashboard!I60</f>
      </c>
      <c r="H7" s="13">
        <f>=Dashboard!J60</f>
      </c>
      <c r="I7" s="6">
        <f>=Dashboard!L60</f>
      </c>
    </row>
    <row r="8" spans="1:9" x14ac:dyDescent="0.25">
      <c r="A8" s="15">
        <f>=Dashboard!A67</f>
      </c>
      <c r="B8" s="9">
        <f>=Dashboard!C67</f>
      </c>
      <c r="C8" s="9">
        <f>=Dashboard!D67</f>
      </c>
      <c r="D8" s="15">
        <f>=Dashboard!E67</f>
      </c>
      <c r="E8" s="15">
        <f>=Dashboard!F67</f>
      </c>
      <c r="F8" s="15">
        <f>=Dashboard!H67</f>
      </c>
      <c r="G8" s="15">
        <f>=Dashboard!I67</f>
      </c>
      <c r="H8" s="15">
        <f>=Dashboard!J67</f>
      </c>
      <c r="I8" s="9">
        <f>=Dashboard!L67</f>
      </c>
    </row>
    <row r="9" spans="1:9" x14ac:dyDescent="0.25">
      <c r="A9" s="13">
        <f>=Dashboard!A68</f>
      </c>
      <c r="B9" s="6">
        <f>=Dashboard!C68</f>
      </c>
      <c r="C9" s="6">
        <f>=Dashboard!D68</f>
      </c>
      <c r="D9" s="13">
        <f>=Dashboard!E68</f>
      </c>
      <c r="E9" s="13">
        <f>=Dashboard!F68</f>
      </c>
      <c r="F9" s="13">
        <f>=Dashboard!H68</f>
      </c>
      <c r="G9" s="13">
        <f>=Dashboard!I68</f>
      </c>
      <c r="H9" s="13">
        <f>=Dashboard!J68</f>
      </c>
      <c r="I9" s="6">
        <f>=Dashboard!L68</f>
      </c>
    </row>
  </sheetData>
  <autoFilter ref="A2:I9"/>
  <mergeCells count="1">
    <mergeCell ref="A1:I1"/>
  </mergeCells>
  <conditionalFormatting sqref="E3:E9">
    <cfRule type="cellIs" dxfId="117" priority="1" operator="equal">
      <formula>"Completed"</formula>
    </cfRule>
    <cfRule type="cellIs" dxfId="118" priority="2" operator="equal">
      <formula>"In Progress"</formula>
    </cfRule>
    <cfRule type="cellIs" dxfId="119" priority="3" operator="equal">
      <formula>"Review"</formula>
    </cfRule>
    <cfRule type="cellIs" dxfId="120" priority="4" operator="equal">
      <formula>"Blocked"</formula>
    </cfRule>
    <cfRule type="cellIs" dxfId="121" priority="5" operator="equal">
      <formula>"Not Started"</formula>
    </cfRule>
  </conditionalFormatting>
  <conditionalFormatting sqref="D3:D9">
    <cfRule type="cellIs" dxfId="122" priority="6" operator="equal">
      <formula>"Critical"</formula>
    </cfRule>
    <cfRule type="cellIs" dxfId="123" priority="7" operator="equal">
      <formula>"High"</formula>
    </cfRule>
    <cfRule type="cellIs" dxfId="124" priority="8" operator="equal">
      <formula>"Medium"</formula>
    </cfRule>
    <cfRule type="cellIs" dxfId="125" priority="9" operator="equal">
      <formula>"Low"</formula>
    </cfRule>
  </conditionalFormatting>
  <dataValidations count="2">
    <dataValidation type="list" allowBlank="1" sqref="D3:D9">
      <formula1>"Critical,High,Medium,Low"</formula1>
    </dataValidation>
    <dataValidation type="list" allowBlank="1" sqref="E3:E9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319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=Dashboard!A36</f>
      </c>
      <c r="B3" s="6">
        <f>=Dashboard!C36</f>
      </c>
      <c r="C3" s="6">
        <f>=Dashboard!D36</f>
      </c>
      <c r="D3" s="13">
        <f>=Dashboard!E36</f>
      </c>
      <c r="E3" s="13">
        <f>=Dashboard!F36</f>
      </c>
      <c r="F3" s="13">
        <f>=Dashboard!H36</f>
      </c>
      <c r="G3" s="13">
        <f>=Dashboard!I36</f>
      </c>
      <c r="H3" s="13">
        <f>=Dashboard!J36</f>
      </c>
      <c r="I3" s="6">
        <f>=Dashboard!L36</f>
      </c>
    </row>
    <row r="4" spans="1:9" x14ac:dyDescent="0.25">
      <c r="A4" s="15">
        <f>=Dashboard!A37</f>
      </c>
      <c r="B4" s="9">
        <f>=Dashboard!C37</f>
      </c>
      <c r="C4" s="9">
        <f>=Dashboard!D37</f>
      </c>
      <c r="D4" s="15">
        <f>=Dashboard!E37</f>
      </c>
      <c r="E4" s="15">
        <f>=Dashboard!F37</f>
      </c>
      <c r="F4" s="15">
        <f>=Dashboard!H37</f>
      </c>
      <c r="G4" s="15">
        <f>=Dashboard!I37</f>
      </c>
      <c r="H4" s="15">
        <f>=Dashboard!J37</f>
      </c>
      <c r="I4" s="9">
        <f>=Dashboard!L37</f>
      </c>
    </row>
    <row r="5" spans="1:9" x14ac:dyDescent="0.25">
      <c r="A5" s="13">
        <f>=Dashboard!A41</f>
      </c>
      <c r="B5" s="6">
        <f>=Dashboard!C41</f>
      </c>
      <c r="C5" s="6">
        <f>=Dashboard!D41</f>
      </c>
      <c r="D5" s="13">
        <f>=Dashboard!E41</f>
      </c>
      <c r="E5" s="13">
        <f>=Dashboard!F41</f>
      </c>
      <c r="F5" s="13">
        <f>=Dashboard!H41</f>
      </c>
      <c r="G5" s="13">
        <f>=Dashboard!I41</f>
      </c>
      <c r="H5" s="13">
        <f>=Dashboard!J41</f>
      </c>
      <c r="I5" s="6">
        <f>=Dashboard!L41</f>
      </c>
    </row>
    <row r="6" spans="1:9" x14ac:dyDescent="0.25">
      <c r="A6" s="15">
        <f>=Dashboard!A45</f>
      </c>
      <c r="B6" s="9">
        <f>=Dashboard!C45</f>
      </c>
      <c r="C6" s="9">
        <f>=Dashboard!D45</f>
      </c>
      <c r="D6" s="15">
        <f>=Dashboard!E45</f>
      </c>
      <c r="E6" s="15">
        <f>=Dashboard!F45</f>
      </c>
      <c r="F6" s="15">
        <f>=Dashboard!H45</f>
      </c>
      <c r="G6" s="15">
        <f>=Dashboard!I45</f>
      </c>
      <c r="H6" s="15">
        <f>=Dashboard!J45</f>
      </c>
      <c r="I6" s="9">
        <f>=Dashboard!L45</f>
      </c>
    </row>
    <row r="7" spans="1:9" x14ac:dyDescent="0.25">
      <c r="A7" s="13">
        <f>=Dashboard!A57</f>
      </c>
      <c r="B7" s="6">
        <f>=Dashboard!C57</f>
      </c>
      <c r="C7" s="6">
        <f>=Dashboard!D57</f>
      </c>
      <c r="D7" s="13">
        <f>=Dashboard!E57</f>
      </c>
      <c r="E7" s="13">
        <f>=Dashboard!F57</f>
      </c>
      <c r="F7" s="13">
        <f>=Dashboard!H57</f>
      </c>
      <c r="G7" s="13">
        <f>=Dashboard!I57</f>
      </c>
      <c r="H7" s="13">
        <f>=Dashboard!J57</f>
      </c>
      <c r="I7" s="6">
        <f>=Dashboard!L57</f>
      </c>
    </row>
    <row r="8" spans="1:9" x14ac:dyDescent="0.25">
      <c r="A8" s="15">
        <f>=Dashboard!A58</f>
      </c>
      <c r="B8" s="9">
        <f>=Dashboard!C58</f>
      </c>
      <c r="C8" s="9">
        <f>=Dashboard!D58</f>
      </c>
      <c r="D8" s="15">
        <f>=Dashboard!E58</f>
      </c>
      <c r="E8" s="15">
        <f>=Dashboard!F58</f>
      </c>
      <c r="F8" s="15">
        <f>=Dashboard!H58</f>
      </c>
      <c r="G8" s="15">
        <f>=Dashboard!I58</f>
      </c>
      <c r="H8" s="15">
        <f>=Dashboard!J58</f>
      </c>
      <c r="I8" s="9">
        <f>=Dashboard!L58</f>
      </c>
    </row>
    <row r="9" spans="1:9" x14ac:dyDescent="0.25">
      <c r="A9" s="13">
        <f>=Dashboard!A65</f>
      </c>
      <c r="B9" s="6">
        <f>=Dashboard!C65</f>
      </c>
      <c r="C9" s="6">
        <f>=Dashboard!D65</f>
      </c>
      <c r="D9" s="13">
        <f>=Dashboard!E65</f>
      </c>
      <c r="E9" s="13">
        <f>=Dashboard!F65</f>
      </c>
      <c r="F9" s="13">
        <f>=Dashboard!H65</f>
      </c>
      <c r="G9" s="13">
        <f>=Dashboard!I65</f>
      </c>
      <c r="H9" s="13">
        <f>=Dashboard!J65</f>
      </c>
      <c r="I9" s="6">
        <f>=Dashboard!L65</f>
      </c>
    </row>
    <row r="10" spans="1:9" x14ac:dyDescent="0.25">
      <c r="A10" s="15">
        <f>=Dashboard!A66</f>
      </c>
      <c r="B10" s="9">
        <f>=Dashboard!C66</f>
      </c>
      <c r="C10" s="9">
        <f>=Dashboard!D66</f>
      </c>
      <c r="D10" s="15">
        <f>=Dashboard!E66</f>
      </c>
      <c r="E10" s="15">
        <f>=Dashboard!F66</f>
      </c>
      <c r="F10" s="15">
        <f>=Dashboard!H66</f>
      </c>
      <c r="G10" s="15">
        <f>=Dashboard!I66</f>
      </c>
      <c r="H10" s="15">
        <f>=Dashboard!J66</f>
      </c>
      <c r="I10" s="9">
        <f>=Dashboard!L66</f>
      </c>
    </row>
    <row r="11" spans="1:9" x14ac:dyDescent="0.25">
      <c r="A11" s="13">
        <f>=Dashboard!A70</f>
      </c>
      <c r="B11" s="6">
        <f>=Dashboard!C70</f>
      </c>
      <c r="C11" s="6">
        <f>=Dashboard!D70</f>
      </c>
      <c r="D11" s="13">
        <f>=Dashboard!E70</f>
      </c>
      <c r="E11" s="13">
        <f>=Dashboard!F70</f>
      </c>
      <c r="F11" s="13">
        <f>=Dashboard!H70</f>
      </c>
      <c r="G11" s="13">
        <f>=Dashboard!I70</f>
      </c>
      <c r="H11" s="13">
        <f>=Dashboard!J70</f>
      </c>
      <c r="I11" s="6">
        <f>=Dashboard!L70</f>
      </c>
    </row>
  </sheetData>
  <autoFilter ref="A2:I11"/>
  <mergeCells count="1">
    <mergeCell ref="A1:I1"/>
  </mergeCells>
  <conditionalFormatting sqref="E3:E11">
    <cfRule type="cellIs" dxfId="126" priority="1" operator="equal">
      <formula>"Completed"</formula>
    </cfRule>
    <cfRule type="cellIs" dxfId="127" priority="2" operator="equal">
      <formula>"In Progress"</formula>
    </cfRule>
    <cfRule type="cellIs" dxfId="128" priority="3" operator="equal">
      <formula>"Review"</formula>
    </cfRule>
    <cfRule type="cellIs" dxfId="129" priority="4" operator="equal">
      <formula>"Blocked"</formula>
    </cfRule>
    <cfRule type="cellIs" dxfId="130" priority="5" operator="equal">
      <formula>"Not Started"</formula>
    </cfRule>
  </conditionalFormatting>
  <conditionalFormatting sqref="D3:D11">
    <cfRule type="cellIs" dxfId="131" priority="6" operator="equal">
      <formula>"Critical"</formula>
    </cfRule>
    <cfRule type="cellIs" dxfId="132" priority="7" operator="equal">
      <formula>"High"</formula>
    </cfRule>
    <cfRule type="cellIs" dxfId="133" priority="8" operator="equal">
      <formula>"Medium"</formula>
    </cfRule>
    <cfRule type="cellIs" dxfId="134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9" width="40" customWidth="1"/>
  </cols>
  <sheetData>
    <row r="1" ht="24" customHeight="1" spans="1:9" x14ac:dyDescent="0.25">
      <c r="A1" s="35" t="s">
        <v>320</v>
      </c>
      <c r="B1" s="35"/>
      <c r="C1" s="35"/>
      <c r="D1" s="35"/>
      <c r="E1" s="35"/>
      <c r="F1" s="35"/>
      <c r="G1" s="35"/>
      <c r="H1" s="35"/>
      <c r="I1" s="35"/>
    </row>
    <row r="2" ht="26" customHeight="1" spans="1:9" x14ac:dyDescent="0.25">
      <c r="A2" s="12" t="s">
        <v>41</v>
      </c>
      <c r="B2" s="12" t="s">
        <v>43</v>
      </c>
      <c r="C2" s="12" t="s">
        <v>44</v>
      </c>
      <c r="D2" s="12" t="s">
        <v>45</v>
      </c>
      <c r="E2" s="12" t="s">
        <v>46</v>
      </c>
      <c r="F2" s="12" t="s">
        <v>48</v>
      </c>
      <c r="G2" s="12" t="s">
        <v>49</v>
      </c>
      <c r="H2" s="12" t="s">
        <v>50</v>
      </c>
      <c r="I2" s="12" t="s">
        <v>52</v>
      </c>
    </row>
    <row r="3" spans="1:9" x14ac:dyDescent="0.25">
      <c r="A3" s="13">
        <f>=Dashboard!A16</f>
      </c>
      <c r="B3" s="6">
        <f>=Dashboard!C16</f>
      </c>
      <c r="C3" s="6">
        <f>=Dashboard!D16</f>
      </c>
      <c r="D3" s="13">
        <f>=Dashboard!E16</f>
      </c>
      <c r="E3" s="13">
        <f>=Dashboard!F16</f>
      </c>
      <c r="F3" s="13">
        <f>=Dashboard!H16</f>
      </c>
      <c r="G3" s="13">
        <f>=Dashboard!I16</f>
      </c>
      <c r="H3" s="13">
        <f>=Dashboard!J16</f>
      </c>
      <c r="I3" s="6">
        <f>=Dashboard!L16</f>
      </c>
    </row>
    <row r="4" spans="1:9" x14ac:dyDescent="0.25">
      <c r="A4" s="15">
        <f>=Dashboard!A17</f>
      </c>
      <c r="B4" s="9">
        <f>=Dashboard!C17</f>
      </c>
      <c r="C4" s="9">
        <f>=Dashboard!D17</f>
      </c>
      <c r="D4" s="15">
        <f>=Dashboard!E17</f>
      </c>
      <c r="E4" s="15">
        <f>=Dashboard!F17</f>
      </c>
      <c r="F4" s="15">
        <f>=Dashboard!H17</f>
      </c>
      <c r="G4" s="15">
        <f>=Dashboard!I17</f>
      </c>
      <c r="H4" s="15">
        <f>=Dashboard!J17</f>
      </c>
      <c r="I4" s="9">
        <f>=Dashboard!L17</f>
      </c>
    </row>
    <row r="5" spans="1:9" x14ac:dyDescent="0.25">
      <c r="A5" s="13">
        <f>=Dashboard!A18</f>
      </c>
      <c r="B5" s="6">
        <f>=Dashboard!C18</f>
      </c>
      <c r="C5" s="6">
        <f>=Dashboard!D18</f>
      </c>
      <c r="D5" s="13">
        <f>=Dashboard!E18</f>
      </c>
      <c r="E5" s="13">
        <f>=Dashboard!F18</f>
      </c>
      <c r="F5" s="13">
        <f>=Dashboard!H18</f>
      </c>
      <c r="G5" s="13">
        <f>=Dashboard!I18</f>
      </c>
      <c r="H5" s="13">
        <f>=Dashboard!J18</f>
      </c>
      <c r="I5" s="6">
        <f>=Dashboard!L18</f>
      </c>
    </row>
    <row r="6" spans="1:9" x14ac:dyDescent="0.25">
      <c r="A6" s="15">
        <f>=Dashboard!A19</f>
      </c>
      <c r="B6" s="9">
        <f>=Dashboard!C19</f>
      </c>
      <c r="C6" s="9">
        <f>=Dashboard!D19</f>
      </c>
      <c r="D6" s="15">
        <f>=Dashboard!E19</f>
      </c>
      <c r="E6" s="15">
        <f>=Dashboard!F19</f>
      </c>
      <c r="F6" s="15">
        <f>=Dashboard!H19</f>
      </c>
      <c r="G6" s="15">
        <f>=Dashboard!I19</f>
      </c>
      <c r="H6" s="15">
        <f>=Dashboard!J19</f>
      </c>
      <c r="I6" s="9">
        <f>=Dashboard!L19</f>
      </c>
    </row>
    <row r="7" spans="1:9" x14ac:dyDescent="0.25">
      <c r="A7" s="13">
        <f>=Dashboard!A21</f>
      </c>
      <c r="B7" s="6">
        <f>=Dashboard!C21</f>
      </c>
      <c r="C7" s="6">
        <f>=Dashboard!D21</f>
      </c>
      <c r="D7" s="13">
        <f>=Dashboard!E21</f>
      </c>
      <c r="E7" s="13">
        <f>=Dashboard!F21</f>
      </c>
      <c r="F7" s="13">
        <f>=Dashboard!H21</f>
      </c>
      <c r="G7" s="13">
        <f>=Dashboard!I21</f>
      </c>
      <c r="H7" s="13">
        <f>=Dashboard!J21</f>
      </c>
      <c r="I7" s="6">
        <f>=Dashboard!L21</f>
      </c>
    </row>
    <row r="8" spans="1:9" x14ac:dyDescent="0.25">
      <c r="A8" s="15">
        <f>=Dashboard!A22</f>
      </c>
      <c r="B8" s="9">
        <f>=Dashboard!C22</f>
      </c>
      <c r="C8" s="9">
        <f>=Dashboard!D22</f>
      </c>
      <c r="D8" s="15">
        <f>=Dashboard!E22</f>
      </c>
      <c r="E8" s="15">
        <f>=Dashboard!F22</f>
      </c>
      <c r="F8" s="15">
        <f>=Dashboard!H22</f>
      </c>
      <c r="G8" s="15">
        <f>=Dashboard!I22</f>
      </c>
      <c r="H8" s="15">
        <f>=Dashboard!J22</f>
      </c>
      <c r="I8" s="9">
        <f>=Dashboard!L22</f>
      </c>
    </row>
    <row r="9" spans="1:9" x14ac:dyDescent="0.25">
      <c r="A9" s="13">
        <f>=Dashboard!A23</f>
      </c>
      <c r="B9" s="6">
        <f>=Dashboard!C23</f>
      </c>
      <c r="C9" s="6">
        <f>=Dashboard!D23</f>
      </c>
      <c r="D9" s="13">
        <f>=Dashboard!E23</f>
      </c>
      <c r="E9" s="13">
        <f>=Dashboard!F23</f>
      </c>
      <c r="F9" s="13">
        <f>=Dashboard!H23</f>
      </c>
      <c r="G9" s="13">
        <f>=Dashboard!I23</f>
      </c>
      <c r="H9" s="13">
        <f>=Dashboard!J23</f>
      </c>
      <c r="I9" s="6">
        <f>=Dashboard!L23</f>
      </c>
    </row>
    <row r="10" spans="1:9" x14ac:dyDescent="0.25">
      <c r="A10" s="15">
        <f>=Dashboard!A24</f>
      </c>
      <c r="B10" s="9">
        <f>=Dashboard!C24</f>
      </c>
      <c r="C10" s="9">
        <f>=Dashboard!D24</f>
      </c>
      <c r="D10" s="15">
        <f>=Dashboard!E24</f>
      </c>
      <c r="E10" s="15">
        <f>=Dashboard!F24</f>
      </c>
      <c r="F10" s="15">
        <f>=Dashboard!H24</f>
      </c>
      <c r="G10" s="15">
        <f>=Dashboard!I24</f>
      </c>
      <c r="H10" s="15">
        <f>=Dashboard!J24</f>
      </c>
      <c r="I10" s="9">
        <f>=Dashboard!L24</f>
      </c>
    </row>
    <row r="11" spans="1:9" x14ac:dyDescent="0.25">
      <c r="A11" s="13">
        <f>=Dashboard!A71</f>
      </c>
      <c r="B11" s="6">
        <f>=Dashboard!C71</f>
      </c>
      <c r="C11" s="6">
        <f>=Dashboard!D71</f>
      </c>
      <c r="D11" s="13">
        <f>=Dashboard!E71</f>
      </c>
      <c r="E11" s="13">
        <f>=Dashboard!F71</f>
      </c>
      <c r="F11" s="13">
        <f>=Dashboard!H71</f>
      </c>
      <c r="G11" s="13">
        <f>=Dashboard!I71</f>
      </c>
      <c r="H11" s="13">
        <f>=Dashboard!J71</f>
      </c>
      <c r="I11" s="6">
        <f>=Dashboard!L71</f>
      </c>
    </row>
  </sheetData>
  <autoFilter ref="A2:I11"/>
  <mergeCells count="1">
    <mergeCell ref="A1:I1"/>
  </mergeCells>
  <conditionalFormatting sqref="E3:E11">
    <cfRule type="cellIs" dxfId="135" priority="1" operator="equal">
      <formula>"Completed"</formula>
    </cfRule>
    <cfRule type="cellIs" dxfId="136" priority="2" operator="equal">
      <formula>"In Progress"</formula>
    </cfRule>
    <cfRule type="cellIs" dxfId="137" priority="3" operator="equal">
      <formula>"Review"</formula>
    </cfRule>
    <cfRule type="cellIs" dxfId="138" priority="4" operator="equal">
      <formula>"Blocked"</formula>
    </cfRule>
    <cfRule type="cellIs" dxfId="139" priority="5" operator="equal">
      <formula>"Not Started"</formula>
    </cfRule>
  </conditionalFormatting>
  <conditionalFormatting sqref="D3:D11">
    <cfRule type="cellIs" dxfId="140" priority="6" operator="equal">
      <formula>"Critical"</formula>
    </cfRule>
    <cfRule type="cellIs" dxfId="141" priority="7" operator="equal">
      <formula>"High"</formula>
    </cfRule>
    <cfRule type="cellIs" dxfId="142" priority="8" operator="equal">
      <formula>"Medium"</formula>
    </cfRule>
    <cfRule type="cellIs" dxfId="143" priority="9" operator="equal">
      <formula>"Low"</formula>
    </cfRule>
  </conditionalFormatting>
  <dataValidations count="4">
    <dataValidation type="list" allowBlank="1" sqref="D10:D11">
      <formula1>"Critical,High,Medium,Low"</formula1>
    </dataValidation>
    <dataValidation type="list" allowBlank="1" sqref="D3:D11">
      <formula1>"Critical,High,Medium,Low"</formula1>
    </dataValidation>
    <dataValidation type="list" allowBlank="1" sqref="E10:E11">
      <formula1>"Not Started,In Progress,Review,Completed,Blocked"</formula1>
    </dataValidation>
    <dataValidation type="list" allowBlank="1" sqref="E3:E11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8" width="40" customWidth="1"/>
  </cols>
  <sheetData>
    <row r="1" ht="24" customHeight="1" spans="1:8" x14ac:dyDescent="0.25">
      <c r="A1" s="35" t="s">
        <v>321</v>
      </c>
      <c r="B1" s="35"/>
      <c r="C1" s="35"/>
      <c r="D1" s="35"/>
      <c r="E1" s="35"/>
      <c r="F1" s="35"/>
      <c r="G1" s="35"/>
      <c r="H1" s="35"/>
    </row>
    <row r="2" ht="26" customHeight="1" spans="1:8" x14ac:dyDescent="0.25">
      <c r="A2" s="12" t="s">
        <v>322</v>
      </c>
      <c r="B2" s="12" t="s">
        <v>323</v>
      </c>
      <c r="C2" s="12" t="s">
        <v>324</v>
      </c>
      <c r="D2" s="12" t="s">
        <v>325</v>
      </c>
      <c r="E2" s="12" t="s">
        <v>326</v>
      </c>
      <c r="F2" s="12" t="s">
        <v>46</v>
      </c>
      <c r="G2" s="12" t="s">
        <v>327</v>
      </c>
      <c r="H2" s="12" t="s">
        <v>50</v>
      </c>
    </row>
    <row r="3" spans="1:8" x14ac:dyDescent="0.25">
      <c r="A3" s="7" t="s">
        <v>328</v>
      </c>
      <c r="B3" s="6" t="s">
        <v>25</v>
      </c>
      <c r="C3" s="6" t="s">
        <v>22</v>
      </c>
      <c r="D3" s="6" t="s">
        <v>329</v>
      </c>
      <c r="E3" s="7" t="s">
        <v>24</v>
      </c>
      <c r="F3" s="7" t="s">
        <v>57</v>
      </c>
      <c r="G3" s="7" t="s">
        <v>252</v>
      </c>
      <c r="H3" s="7" t="s">
        <v>13</v>
      </c>
    </row>
    <row r="4" spans="1:8" x14ac:dyDescent="0.25">
      <c r="A4" s="10" t="s">
        <v>330</v>
      </c>
      <c r="B4" s="9" t="s">
        <v>25</v>
      </c>
      <c r="C4" s="9" t="s">
        <v>22</v>
      </c>
      <c r="D4" s="9" t="s">
        <v>331</v>
      </c>
      <c r="E4" s="10" t="s">
        <v>24</v>
      </c>
      <c r="F4" s="10" t="s">
        <v>57</v>
      </c>
      <c r="G4" s="10" t="s">
        <v>252</v>
      </c>
      <c r="H4" s="10" t="s">
        <v>13</v>
      </c>
    </row>
    <row r="5" spans="1:8" x14ac:dyDescent="0.25">
      <c r="A5" s="7" t="s">
        <v>332</v>
      </c>
      <c r="B5" s="6" t="s">
        <v>25</v>
      </c>
      <c r="C5" s="6" t="s">
        <v>22</v>
      </c>
      <c r="D5" s="6" t="s">
        <v>333</v>
      </c>
      <c r="E5" s="7" t="s">
        <v>24</v>
      </c>
      <c r="F5" s="7" t="s">
        <v>57</v>
      </c>
      <c r="G5" s="7" t="s">
        <v>252</v>
      </c>
      <c r="H5" s="7" t="s">
        <v>13</v>
      </c>
    </row>
    <row r="6" spans="1:8" x14ac:dyDescent="0.25">
      <c r="A6" s="10" t="s">
        <v>334</v>
      </c>
      <c r="B6" s="9" t="s">
        <v>25</v>
      </c>
      <c r="C6" s="9" t="s">
        <v>22</v>
      </c>
      <c r="D6" s="9" t="s">
        <v>335</v>
      </c>
      <c r="E6" s="10" t="s">
        <v>24</v>
      </c>
      <c r="F6" s="10" t="s">
        <v>57</v>
      </c>
      <c r="G6" s="10" t="s">
        <v>252</v>
      </c>
      <c r="H6" s="10" t="s">
        <v>13</v>
      </c>
    </row>
    <row r="7" spans="1:8" x14ac:dyDescent="0.25">
      <c r="A7" s="7" t="s">
        <v>336</v>
      </c>
      <c r="B7" s="6" t="s">
        <v>22</v>
      </c>
      <c r="C7" s="6" t="s">
        <v>28</v>
      </c>
      <c r="D7" s="6" t="s">
        <v>337</v>
      </c>
      <c r="E7" s="7" t="s">
        <v>30</v>
      </c>
      <c r="F7" s="7" t="s">
        <v>57</v>
      </c>
      <c r="G7" s="7" t="s">
        <v>252</v>
      </c>
      <c r="H7" s="7" t="s">
        <v>13</v>
      </c>
    </row>
    <row r="8" spans="1:8" x14ac:dyDescent="0.25">
      <c r="A8" s="10" t="s">
        <v>338</v>
      </c>
      <c r="B8" s="9" t="s">
        <v>22</v>
      </c>
      <c r="C8" s="9" t="s">
        <v>339</v>
      </c>
      <c r="D8" s="9" t="s">
        <v>340</v>
      </c>
      <c r="E8" s="10" t="s">
        <v>36</v>
      </c>
      <c r="F8" s="10" t="s">
        <v>57</v>
      </c>
      <c r="G8" s="10" t="s">
        <v>252</v>
      </c>
      <c r="H8" s="10" t="s">
        <v>13</v>
      </c>
    </row>
    <row r="9" spans="1:8" x14ac:dyDescent="0.25">
      <c r="A9" s="7" t="s">
        <v>341</v>
      </c>
      <c r="B9" s="6" t="s">
        <v>22</v>
      </c>
      <c r="C9" s="6" t="s">
        <v>339</v>
      </c>
      <c r="D9" s="6" t="s">
        <v>342</v>
      </c>
      <c r="E9" s="7" t="s">
        <v>36</v>
      </c>
      <c r="F9" s="7" t="s">
        <v>57</v>
      </c>
      <c r="G9" s="7" t="s">
        <v>252</v>
      </c>
      <c r="H9" s="7" t="s">
        <v>13</v>
      </c>
    </row>
    <row r="10" spans="1:8" x14ac:dyDescent="0.25">
      <c r="A10" s="10" t="s">
        <v>343</v>
      </c>
      <c r="B10" s="9" t="s">
        <v>22</v>
      </c>
      <c r="C10" s="9" t="s">
        <v>339</v>
      </c>
      <c r="D10" s="9" t="s">
        <v>344</v>
      </c>
      <c r="E10" s="10" t="s">
        <v>36</v>
      </c>
      <c r="F10" s="10" t="s">
        <v>57</v>
      </c>
      <c r="G10" s="10" t="s">
        <v>252</v>
      </c>
      <c r="H10" s="10" t="s">
        <v>13</v>
      </c>
    </row>
  </sheetData>
  <autoFilter ref="A2:H10"/>
  <mergeCells count="1">
    <mergeCell ref="A1:H1"/>
  </mergeCells>
  <conditionalFormatting sqref="F3:F10">
    <cfRule type="cellIs" dxfId="144" priority="1" operator="equal">
      <formula>"Completed"</formula>
    </cfRule>
    <cfRule type="cellIs" dxfId="145" priority="2" operator="equal">
      <formula>"In Progress"</formula>
    </cfRule>
    <cfRule type="cellIs" dxfId="146" priority="3" operator="equal">
      <formula>"Review"</formula>
    </cfRule>
    <cfRule type="cellIs" dxfId="147" priority="4" operator="equal">
      <formula>"Blocked"</formula>
    </cfRule>
    <cfRule type="cellIs" dxfId="148" priority="5" operator="equal">
      <formula>"Not Started"</formula>
    </cfRule>
  </conditionalFormatting>
  <dataValidations count="2">
    <dataValidation type="list" allowBlank="1" sqref="F10">
      <formula1>"Not Started,In Progress,Review,Completed,Blocked"</formula1>
    </dataValidation>
    <dataValidation type="list" allowBlank="1" sqref="F3:F1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3" width="40" customWidth="1"/>
  </cols>
  <sheetData>
    <row r="1" ht="24" customHeight="1" spans="1:13" x14ac:dyDescent="0.25">
      <c r="A1" s="35" t="s">
        <v>345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ht="26" customHeight="1" spans="1:13" x14ac:dyDescent="0.25">
      <c r="A2" s="12" t="s">
        <v>346</v>
      </c>
      <c r="B2" s="12" t="s">
        <v>42</v>
      </c>
      <c r="C2" s="12" t="s">
        <v>347</v>
      </c>
      <c r="D2" s="12" t="s">
        <v>44</v>
      </c>
      <c r="E2" s="12" t="s">
        <v>348</v>
      </c>
      <c r="F2" s="12" t="s">
        <v>45</v>
      </c>
      <c r="G2" s="12" t="s">
        <v>46</v>
      </c>
      <c r="H2" s="12" t="s">
        <v>349</v>
      </c>
      <c r="I2" s="12" t="s">
        <v>350</v>
      </c>
      <c r="J2" s="12" t="s">
        <v>351</v>
      </c>
      <c r="K2" s="12" t="s">
        <v>352</v>
      </c>
      <c r="L2" s="12" t="s">
        <v>353</v>
      </c>
      <c r="M2" s="12" t="s">
        <v>52</v>
      </c>
    </row>
    <row r="3" spans="1:13" x14ac:dyDescent="0.25">
      <c r="A3" s="9" t="s">
        <v>354</v>
      </c>
      <c r="B3" s="9" t="s">
        <v>25</v>
      </c>
      <c r="C3" s="9" t="s">
        <v>21</v>
      </c>
      <c r="D3" s="9" t="s">
        <v>24</v>
      </c>
      <c r="E3" s="9" t="s">
        <v>56</v>
      </c>
      <c r="F3" s="9" t="s">
        <v>56</v>
      </c>
      <c r="G3" s="9" t="s">
        <v>355</v>
      </c>
      <c r="H3" s="9" t="s">
        <v>356</v>
      </c>
      <c r="I3" s="9" t="s">
        <v>357</v>
      </c>
      <c r="J3" s="9" t="s">
        <v>358</v>
      </c>
      <c r="K3" s="9" t="s">
        <v>359</v>
      </c>
      <c r="L3" s="9" t="s">
        <v>21</v>
      </c>
      <c r="M3" s="9" t="s">
        <v>360</v>
      </c>
    </row>
    <row r="4" spans="1:13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</row>
    <row r="5" spans="1:13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</row>
    <row r="7" spans="1:13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</row>
    <row r="8" spans="1:1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</row>
    <row r="9" spans="1:13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</row>
    <row r="10" spans="1:1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</row>
    <row r="12" spans="1:1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</row>
    <row r="13" spans="1:13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</row>
    <row r="14" spans="1:1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spans="1:13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spans="1:13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</row>
    <row r="18" spans="1:1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spans="1:13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</row>
    <row r="20" spans="1:1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</row>
    <row r="22" spans="1:1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spans="1:13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spans="1:1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5" spans="1:13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spans="1:1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spans="1:1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</row>
  </sheetData>
  <autoFilter ref="A2:M30"/>
  <mergeCells count="1">
    <mergeCell ref="A1:M1"/>
  </mergeCells>
  <conditionalFormatting sqref="G3:G30">
    <cfRule type="cellIs" dxfId="149" priority="1" operator="equal">
      <formula>"Completed"</formula>
    </cfRule>
    <cfRule type="cellIs" dxfId="150" priority="2" operator="equal">
      <formula>"In Progress"</formula>
    </cfRule>
    <cfRule type="cellIs" dxfId="151" priority="3" operator="equal">
      <formula>"Review"</formula>
    </cfRule>
    <cfRule type="cellIs" dxfId="152" priority="4" operator="equal">
      <formula>"Blocked"</formula>
    </cfRule>
    <cfRule type="cellIs" dxfId="153" priority="5" operator="equal">
      <formula>"Not Started"</formula>
    </cfRule>
  </conditionalFormatting>
  <conditionalFormatting sqref="E3:E30">
    <cfRule type="cellIs" dxfId="154" priority="6" operator="equal">
      <formula>"Critical"</formula>
    </cfRule>
    <cfRule type="cellIs" dxfId="155" priority="7" operator="equal">
      <formula>"High"</formula>
    </cfRule>
    <cfRule type="cellIs" dxfId="156" priority="8" operator="equal">
      <formula>"Medium"</formula>
    </cfRule>
    <cfRule type="cellIs" dxfId="157" priority="9" operator="equal">
      <formula>"Low"</formula>
    </cfRule>
  </conditionalFormatting>
  <dataValidations count="4">
    <dataValidation type="list" allowBlank="1" sqref="E10:F30">
      <formula1>"Critical,High,Medium,Low"</formula1>
    </dataValidation>
    <dataValidation type="list" allowBlank="1" sqref="E3:F30">
      <formula1>"Critical,High,Medium,Low"</formula1>
    </dataValidation>
    <dataValidation type="list" allowBlank="1" sqref="G10:G30">
      <formula1>"New,Assigned,In Progress,Ready for Test,Verified,Closed"</formula1>
    </dataValidation>
    <dataValidation type="list" allowBlank="1" sqref="G3:G30">
      <formula1>"New,Assigned,In Progress,Ready for Test,Verified,Closed"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35" t="s">
        <v>361</v>
      </c>
      <c r="B1" s="35"/>
      <c r="C1" s="35"/>
      <c r="D1" s="35"/>
      <c r="E1" s="35"/>
    </row>
    <row r="2" ht="26" customHeight="1" spans="1:5" x14ac:dyDescent="0.25">
      <c r="A2" s="12" t="s">
        <v>362</v>
      </c>
      <c r="B2" s="12" t="s">
        <v>363</v>
      </c>
      <c r="C2" s="12" t="s">
        <v>46</v>
      </c>
      <c r="D2" s="12" t="s">
        <v>364</v>
      </c>
      <c r="E2" s="12" t="s">
        <v>52</v>
      </c>
    </row>
    <row r="3" spans="1:5" x14ac:dyDescent="0.25">
      <c r="A3" s="6" t="s">
        <v>365</v>
      </c>
      <c r="B3" s="6" t="s">
        <v>30</v>
      </c>
      <c r="C3" s="7" t="s">
        <v>57</v>
      </c>
      <c r="D3" s="7" t="s">
        <v>366</v>
      </c>
      <c r="E3" s="6" t="s">
        <v>367</v>
      </c>
    </row>
    <row r="4" spans="1:5" x14ac:dyDescent="0.25">
      <c r="A4" s="9" t="s">
        <v>368</v>
      </c>
      <c r="B4" s="9" t="s">
        <v>30</v>
      </c>
      <c r="C4" s="10" t="s">
        <v>57</v>
      </c>
      <c r="D4" s="10" t="s">
        <v>366</v>
      </c>
      <c r="E4" s="9" t="s">
        <v>369</v>
      </c>
    </row>
    <row r="5" spans="1:5" x14ac:dyDescent="0.25">
      <c r="A5" s="6" t="s">
        <v>370</v>
      </c>
      <c r="B5" s="6" t="s">
        <v>30</v>
      </c>
      <c r="C5" s="7" t="s">
        <v>57</v>
      </c>
      <c r="D5" s="7" t="s">
        <v>366</v>
      </c>
      <c r="E5" s="6" t="s">
        <v>371</v>
      </c>
    </row>
    <row r="6" spans="1:5" x14ac:dyDescent="0.25">
      <c r="A6" s="9" t="s">
        <v>372</v>
      </c>
      <c r="B6" s="9" t="s">
        <v>30</v>
      </c>
      <c r="C6" s="10" t="s">
        <v>57</v>
      </c>
      <c r="D6" s="10" t="s">
        <v>366</v>
      </c>
      <c r="E6" s="9" t="s">
        <v>373</v>
      </c>
    </row>
    <row r="7" spans="1:5" x14ac:dyDescent="0.25">
      <c r="A7" s="6" t="s">
        <v>374</v>
      </c>
      <c r="B7" s="6" t="s">
        <v>30</v>
      </c>
      <c r="C7" s="7" t="s">
        <v>57</v>
      </c>
      <c r="D7" s="7" t="s">
        <v>366</v>
      </c>
      <c r="E7" s="6" t="s">
        <v>375</v>
      </c>
    </row>
    <row r="8" spans="1:5" x14ac:dyDescent="0.25">
      <c r="A8" s="9" t="s">
        <v>376</v>
      </c>
      <c r="B8" s="9" t="s">
        <v>30</v>
      </c>
      <c r="C8" s="10" t="s">
        <v>57</v>
      </c>
      <c r="D8" s="10" t="s">
        <v>366</v>
      </c>
      <c r="E8" s="9" t="s">
        <v>377</v>
      </c>
    </row>
    <row r="9" spans="1:5" x14ac:dyDescent="0.25">
      <c r="A9" s="6" t="s">
        <v>378</v>
      </c>
      <c r="B9" s="6" t="s">
        <v>30</v>
      </c>
      <c r="C9" s="7" t="s">
        <v>57</v>
      </c>
      <c r="D9" s="7" t="s">
        <v>366</v>
      </c>
      <c r="E9" s="6" t="s">
        <v>379</v>
      </c>
    </row>
    <row r="10" spans="1:5" x14ac:dyDescent="0.25">
      <c r="A10" s="9" t="s">
        <v>380</v>
      </c>
      <c r="B10" s="9" t="s">
        <v>27</v>
      </c>
      <c r="C10" s="10" t="s">
        <v>57</v>
      </c>
      <c r="D10" s="10" t="s">
        <v>366</v>
      </c>
      <c r="E10" s="9" t="s">
        <v>381</v>
      </c>
    </row>
    <row r="11" spans="1:5" x14ac:dyDescent="0.25">
      <c r="A11" s="6" t="s">
        <v>382</v>
      </c>
      <c r="B11" s="6" t="s">
        <v>24</v>
      </c>
      <c r="C11" s="7" t="s">
        <v>57</v>
      </c>
      <c r="D11" s="7" t="s">
        <v>366</v>
      </c>
      <c r="E11" s="6" t="s">
        <v>383</v>
      </c>
    </row>
    <row r="12" spans="1:5" x14ac:dyDescent="0.25">
      <c r="A12" s="9" t="s">
        <v>384</v>
      </c>
      <c r="B12" s="9" t="s">
        <v>30</v>
      </c>
      <c r="C12" s="10" t="s">
        <v>57</v>
      </c>
      <c r="D12" s="10" t="s">
        <v>366</v>
      </c>
      <c r="E12" s="9" t="s">
        <v>385</v>
      </c>
    </row>
    <row r="13" spans="1:5" x14ac:dyDescent="0.25">
      <c r="A13" s="6" t="s">
        <v>386</v>
      </c>
      <c r="B13" s="6" t="s">
        <v>30</v>
      </c>
      <c r="C13" s="7" t="s">
        <v>57</v>
      </c>
      <c r="D13" s="7" t="s">
        <v>366</v>
      </c>
      <c r="E13" s="6" t="s">
        <v>387</v>
      </c>
    </row>
    <row r="14" spans="1:5" x14ac:dyDescent="0.25">
      <c r="A14" s="9" t="s">
        <v>388</v>
      </c>
      <c r="B14" s="9" t="s">
        <v>30</v>
      </c>
      <c r="C14" s="10" t="s">
        <v>57</v>
      </c>
      <c r="D14" s="10" t="s">
        <v>366</v>
      </c>
      <c r="E14" s="9" t="s">
        <v>389</v>
      </c>
    </row>
    <row r="15" spans="1:5" x14ac:dyDescent="0.25">
      <c r="A15" s="6" t="s">
        <v>390</v>
      </c>
      <c r="B15" s="6" t="s">
        <v>30</v>
      </c>
      <c r="C15" s="7" t="s">
        <v>57</v>
      </c>
      <c r="D15" s="7" t="s">
        <v>366</v>
      </c>
      <c r="E15" s="6" t="s">
        <v>391</v>
      </c>
    </row>
    <row r="16" spans="1:5" x14ac:dyDescent="0.25">
      <c r="A16" s="9" t="s">
        <v>392</v>
      </c>
      <c r="B16" s="9" t="s">
        <v>30</v>
      </c>
      <c r="C16" s="10" t="s">
        <v>57</v>
      </c>
      <c r="D16" s="10" t="s">
        <v>366</v>
      </c>
      <c r="E16" s="9" t="s">
        <v>393</v>
      </c>
    </row>
    <row r="17" spans="1:5" x14ac:dyDescent="0.25">
      <c r="A17" s="6" t="s">
        <v>394</v>
      </c>
      <c r="B17" s="6" t="s">
        <v>27</v>
      </c>
      <c r="C17" s="7" t="s">
        <v>57</v>
      </c>
      <c r="D17" s="7" t="s">
        <v>366</v>
      </c>
      <c r="E17" s="6" t="s">
        <v>395</v>
      </c>
    </row>
    <row r="18" spans="1:5" x14ac:dyDescent="0.25">
      <c r="A18" s="9" t="s">
        <v>396</v>
      </c>
      <c r="B18" s="9" t="s">
        <v>36</v>
      </c>
      <c r="C18" s="10" t="s">
        <v>57</v>
      </c>
      <c r="D18" s="10" t="s">
        <v>366</v>
      </c>
      <c r="E18" s="9" t="s">
        <v>397</v>
      </c>
    </row>
    <row r="19" spans="1:5" x14ac:dyDescent="0.25">
      <c r="A19" s="6" t="s">
        <v>398</v>
      </c>
      <c r="B19" s="6" t="s">
        <v>36</v>
      </c>
      <c r="C19" s="7" t="s">
        <v>57</v>
      </c>
      <c r="D19" s="7" t="s">
        <v>366</v>
      </c>
      <c r="E19" s="6" t="s">
        <v>399</v>
      </c>
    </row>
    <row r="20" spans="1:5" x14ac:dyDescent="0.25">
      <c r="A20" s="9" t="s">
        <v>400</v>
      </c>
      <c r="B20" s="9" t="s">
        <v>36</v>
      </c>
      <c r="C20" s="10" t="s">
        <v>57</v>
      </c>
      <c r="D20" s="10" t="s">
        <v>366</v>
      </c>
      <c r="E20" s="9" t="s">
        <v>401</v>
      </c>
    </row>
  </sheetData>
  <autoFilter ref="A2:E20"/>
  <mergeCells count="1">
    <mergeCell ref="A1:E1"/>
  </mergeCells>
  <conditionalFormatting sqref="C3:C20">
    <cfRule type="cellIs" dxfId="158" priority="1" operator="equal">
      <formula>"Completed"</formula>
    </cfRule>
    <cfRule type="cellIs" dxfId="159" priority="2" operator="equal">
      <formula>"In Progress"</formula>
    </cfRule>
    <cfRule type="cellIs" dxfId="160" priority="3" operator="equal">
      <formula>"Review"</formula>
    </cfRule>
    <cfRule type="cellIs" dxfId="161" priority="4" operator="equal">
      <formula>"Blocked"</formula>
    </cfRule>
    <cfRule type="cellIs" dxfId="162" priority="5" operator="equal">
      <formula>"Not Started"</formula>
    </cfRule>
  </conditionalFormatting>
  <dataValidations count="2">
    <dataValidation type="list" allowBlank="1" sqref="C10:C20">
      <formula1>"Not Started,In Progress,Review,Completed,Blocked"</formula1>
    </dataValidation>
    <dataValidation type="list" allowBlank="1" sqref="C3:C20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35" t="s">
        <v>402</v>
      </c>
      <c r="B1" s="35"/>
      <c r="C1" s="35"/>
      <c r="D1" s="35"/>
      <c r="E1" s="35"/>
      <c r="F1" s="35"/>
    </row>
    <row r="2" ht="26" customHeight="1" spans="1:6" x14ac:dyDescent="0.25">
      <c r="A2" s="12" t="s">
        <v>403</v>
      </c>
      <c r="B2" s="12" t="s">
        <v>404</v>
      </c>
      <c r="C2" s="12" t="s">
        <v>405</v>
      </c>
      <c r="D2" s="12" t="s">
        <v>406</v>
      </c>
      <c r="E2" s="12" t="s">
        <v>407</v>
      </c>
      <c r="F2" s="12" t="s">
        <v>408</v>
      </c>
    </row>
    <row r="3" spans="1:6" x14ac:dyDescent="0.25">
      <c r="A3" s="7" t="s">
        <v>409</v>
      </c>
      <c r="B3" s="7" t="s">
        <v>21</v>
      </c>
      <c r="C3" s="6"/>
      <c r="D3" s="6"/>
      <c r="E3" s="6"/>
      <c r="F3" s="7"/>
    </row>
    <row r="4" spans="1:6" x14ac:dyDescent="0.25">
      <c r="A4" s="10" t="s">
        <v>409</v>
      </c>
      <c r="B4" s="10" t="s">
        <v>24</v>
      </c>
      <c r="C4" s="9"/>
      <c r="D4" s="9"/>
      <c r="E4" s="9"/>
      <c r="F4" s="10"/>
    </row>
    <row r="5" spans="1:6" x14ac:dyDescent="0.25">
      <c r="A5" s="7" t="s">
        <v>409</v>
      </c>
      <c r="B5" s="7" t="s">
        <v>27</v>
      </c>
      <c r="C5" s="6"/>
      <c r="D5" s="6"/>
      <c r="E5" s="6"/>
      <c r="F5" s="7"/>
    </row>
    <row r="6" spans="1:6" x14ac:dyDescent="0.25">
      <c r="A6" s="10" t="s">
        <v>409</v>
      </c>
      <c r="B6" s="10" t="s">
        <v>30</v>
      </c>
      <c r="C6" s="9"/>
      <c r="D6" s="9"/>
      <c r="E6" s="9"/>
      <c r="F6" s="10"/>
    </row>
    <row r="7" spans="1:6" x14ac:dyDescent="0.25">
      <c r="A7" s="7" t="s">
        <v>409</v>
      </c>
      <c r="B7" s="7" t="s">
        <v>33</v>
      </c>
      <c r="C7" s="6"/>
      <c r="D7" s="6"/>
      <c r="E7" s="6"/>
      <c r="F7" s="7"/>
    </row>
    <row r="8" spans="1:6" x14ac:dyDescent="0.25">
      <c r="A8" s="10" t="s">
        <v>409</v>
      </c>
      <c r="B8" s="10" t="s">
        <v>36</v>
      </c>
      <c r="C8" s="9"/>
      <c r="D8" s="9"/>
      <c r="E8" s="9"/>
      <c r="F8" s="10"/>
    </row>
  </sheetData>
  <autoFilter ref="A2:F100"/>
  <mergeCells count="1">
    <mergeCell ref="A1:F1"/>
  </mergeCells>
  <dataValidations count="1">
    <dataValidation type="list" allowBlank="1" sqref="F3:F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6" width="40" customWidth="1"/>
  </cols>
  <sheetData>
    <row r="1" ht="24" customHeight="1" spans="1:6" x14ac:dyDescent="0.25">
      <c r="A1" s="35" t="s">
        <v>410</v>
      </c>
      <c r="B1" s="35"/>
      <c r="C1" s="35"/>
      <c r="D1" s="35"/>
      <c r="E1" s="35"/>
      <c r="F1" s="35"/>
    </row>
    <row r="2" ht="26" customHeight="1" spans="1:6" x14ac:dyDescent="0.25">
      <c r="A2" s="12" t="s">
        <v>10</v>
      </c>
      <c r="B2" s="12" t="s">
        <v>11</v>
      </c>
      <c r="C2" s="12" t="s">
        <v>411</v>
      </c>
      <c r="D2" s="12" t="s">
        <v>412</v>
      </c>
      <c r="E2" s="12" t="s">
        <v>2</v>
      </c>
      <c r="F2" s="12" t="s">
        <v>15</v>
      </c>
    </row>
    <row r="3" spans="1:6" x14ac:dyDescent="0.25">
      <c r="A3" s="6">
        <f>=Dashboard!A8</f>
      </c>
      <c r="B3" s="7">
        <f>=Dashboard!B8</f>
      </c>
      <c r="C3" s="7">
        <f>=Dashboard!C8</f>
      </c>
      <c r="D3" s="7">
        <f>=Dashboard!D8</f>
      </c>
      <c r="E3" s="7">
        <f>=Dashboard!E8</f>
      </c>
      <c r="F3" s="8">
        <f>=Dashboard!F8</f>
      </c>
    </row>
    <row r="4" spans="1:6" x14ac:dyDescent="0.25">
      <c r="A4" s="9">
        <f>=Dashboard!A9</f>
      </c>
      <c r="B4" s="10">
        <f>=Dashboard!B9</f>
      </c>
      <c r="C4" s="10">
        <f>=Dashboard!C9</f>
      </c>
      <c r="D4" s="10">
        <f>=Dashboard!D9</f>
      </c>
      <c r="E4" s="10">
        <f>=Dashboard!E9</f>
      </c>
      <c r="F4" s="11">
        <f>=Dashboard!F9</f>
      </c>
    </row>
    <row r="5" spans="1:6" x14ac:dyDescent="0.25">
      <c r="A5" s="6">
        <f>=Dashboard!A10</f>
      </c>
      <c r="B5" s="7">
        <f>=Dashboard!B10</f>
      </c>
      <c r="C5" s="7">
        <f>=Dashboard!C10</f>
      </c>
      <c r="D5" s="7">
        <f>=Dashboard!D10</f>
      </c>
      <c r="E5" s="7">
        <f>=Dashboard!E10</f>
      </c>
      <c r="F5" s="8">
        <f>=Dashboard!F10</f>
      </c>
    </row>
    <row r="6" spans="1:6" x14ac:dyDescent="0.25">
      <c r="A6" s="9">
        <f>=Dashboard!A11</f>
      </c>
      <c r="B6" s="10">
        <f>=Dashboard!B11</f>
      </c>
      <c r="C6" s="10">
        <f>=Dashboard!C11</f>
      </c>
      <c r="D6" s="10">
        <f>=Dashboard!D11</f>
      </c>
      <c r="E6" s="10">
        <f>=Dashboard!E11</f>
      </c>
      <c r="F6" s="11">
        <f>=Dashboard!F11</f>
      </c>
    </row>
    <row r="7" spans="1:6" x14ac:dyDescent="0.25">
      <c r="A7" s="6">
        <f>=Dashboard!A12</f>
      </c>
      <c r="B7" s="7">
        <f>=Dashboard!B12</f>
      </c>
      <c r="C7" s="7">
        <f>=Dashboard!C12</f>
      </c>
      <c r="D7" s="7">
        <f>=Dashboard!D12</f>
      </c>
      <c r="E7" s="7">
        <f>=Dashboard!E12</f>
      </c>
      <c r="F7" s="8">
        <f>=Dashboard!F12</f>
      </c>
    </row>
    <row r="8" spans="1:6" x14ac:dyDescent="0.25">
      <c r="A8" s="9">
        <f>=Dashboard!A13</f>
      </c>
      <c r="B8" s="10">
        <f>=Dashboard!B13</f>
      </c>
      <c r="C8" s="10">
        <f>=Dashboard!C13</f>
      </c>
      <c r="D8" s="10">
        <f>=Dashboard!D13</f>
      </c>
      <c r="E8" s="10">
        <f>=Dashboard!E13</f>
      </c>
      <c r="F8" s="11">
        <f>=Dashboard!F13</f>
      </c>
    </row>
  </sheetData>
  <autoFilter ref="A2:F8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37" customWidth="1"/>
    <col min="6" max="6" width="40" customWidth="1"/>
  </cols>
  <sheetData>
    <row r="1" ht="24" customHeight="1" spans="1:6" x14ac:dyDescent="0.25">
      <c r="A1" s="35" t="s">
        <v>413</v>
      </c>
      <c r="B1" s="35"/>
      <c r="C1" s="35"/>
      <c r="D1" s="35"/>
      <c r="E1" s="35"/>
      <c r="F1" s="35"/>
    </row>
    <row r="2" ht="26" customHeight="1" spans="1:6" x14ac:dyDescent="0.25">
      <c r="A2" s="12" t="s">
        <v>41</v>
      </c>
      <c r="B2" s="12" t="s">
        <v>414</v>
      </c>
      <c r="C2" s="12" t="s">
        <v>363</v>
      </c>
      <c r="D2" s="12" t="s">
        <v>415</v>
      </c>
      <c r="E2" s="12" t="s">
        <v>416</v>
      </c>
      <c r="F2" s="12" t="s">
        <v>52</v>
      </c>
    </row>
    <row r="3" spans="1:6" x14ac:dyDescent="0.25">
      <c r="A3" s="7" t="s">
        <v>80</v>
      </c>
      <c r="B3" s="7" t="s">
        <v>77</v>
      </c>
      <c r="C3" s="7" t="s">
        <v>30</v>
      </c>
      <c r="D3" s="7" t="s">
        <v>57</v>
      </c>
      <c r="E3" s="7" t="s">
        <v>65</v>
      </c>
      <c r="F3" s="6" t="s">
        <v>417</v>
      </c>
    </row>
    <row r="4" spans="1:6" x14ac:dyDescent="0.25">
      <c r="A4" s="10" t="s">
        <v>105</v>
      </c>
      <c r="B4" s="10" t="s">
        <v>77</v>
      </c>
      <c r="C4" s="10" t="s">
        <v>30</v>
      </c>
      <c r="D4" s="10" t="s">
        <v>57</v>
      </c>
      <c r="E4" s="10" t="s">
        <v>69</v>
      </c>
      <c r="F4" s="9" t="s">
        <v>418</v>
      </c>
    </row>
    <row r="5" spans="1:6" x14ac:dyDescent="0.25">
      <c r="A5" s="7" t="s">
        <v>111</v>
      </c>
      <c r="B5" s="7" t="s">
        <v>108</v>
      </c>
      <c r="C5" s="7" t="s">
        <v>30</v>
      </c>
      <c r="D5" s="7" t="s">
        <v>57</v>
      </c>
      <c r="E5" s="7" t="s">
        <v>69</v>
      </c>
      <c r="F5" s="6" t="s">
        <v>419</v>
      </c>
    </row>
    <row r="6" spans="1:6" x14ac:dyDescent="0.25">
      <c r="A6" s="10" t="s">
        <v>115</v>
      </c>
      <c r="B6" s="10" t="s">
        <v>111</v>
      </c>
      <c r="C6" s="10" t="s">
        <v>30</v>
      </c>
      <c r="D6" s="10" t="s">
        <v>57</v>
      </c>
      <c r="E6" s="10" t="s">
        <v>69</v>
      </c>
      <c r="F6" s="9" t="s">
        <v>420</v>
      </c>
    </row>
    <row r="7" spans="1:6" x14ac:dyDescent="0.25">
      <c r="A7" s="7" t="s">
        <v>92</v>
      </c>
      <c r="B7" s="7" t="s">
        <v>86</v>
      </c>
      <c r="C7" s="7" t="s">
        <v>24</v>
      </c>
      <c r="D7" s="7" t="s">
        <v>57</v>
      </c>
      <c r="E7" s="7" t="s">
        <v>56</v>
      </c>
      <c r="F7" s="6" t="s">
        <v>421</v>
      </c>
    </row>
    <row r="8" spans="1:6" x14ac:dyDescent="0.25">
      <c r="A8" s="10" t="s">
        <v>118</v>
      </c>
      <c r="B8" s="10" t="s">
        <v>92</v>
      </c>
      <c r="C8" s="10" t="s">
        <v>24</v>
      </c>
      <c r="D8" s="10" t="s">
        <v>57</v>
      </c>
      <c r="E8" s="10" t="s">
        <v>56</v>
      </c>
      <c r="F8" s="9" t="s">
        <v>422</v>
      </c>
    </row>
    <row r="9" spans="1:6" x14ac:dyDescent="0.25">
      <c r="A9" s="7" t="s">
        <v>130</v>
      </c>
      <c r="B9" s="7" t="s">
        <v>127</v>
      </c>
      <c r="C9" s="7" t="s">
        <v>30</v>
      </c>
      <c r="D9" s="7" t="s">
        <v>57</v>
      </c>
      <c r="E9" s="7" t="s">
        <v>56</v>
      </c>
      <c r="F9" s="6" t="s">
        <v>423</v>
      </c>
    </row>
    <row r="10" spans="1:6" x14ac:dyDescent="0.25">
      <c r="A10" s="10" t="s">
        <v>163</v>
      </c>
      <c r="B10" s="10" t="s">
        <v>157</v>
      </c>
      <c r="C10" s="10" t="s">
        <v>30</v>
      </c>
      <c r="D10" s="10" t="s">
        <v>57</v>
      </c>
      <c r="E10" s="10" t="s">
        <v>69</v>
      </c>
      <c r="F10" s="9" t="s">
        <v>424</v>
      </c>
    </row>
    <row r="11" spans="1:6" x14ac:dyDescent="0.25">
      <c r="A11" s="7" t="s">
        <v>196</v>
      </c>
      <c r="B11" s="7" t="s">
        <v>163</v>
      </c>
      <c r="C11" s="7" t="s">
        <v>33</v>
      </c>
      <c r="D11" s="7" t="s">
        <v>57</v>
      </c>
      <c r="E11" s="7" t="s">
        <v>56</v>
      </c>
      <c r="F11" s="6" t="s">
        <v>425</v>
      </c>
    </row>
  </sheetData>
  <autoFilter ref="A2:F11"/>
  <mergeCells count="1">
    <mergeCell ref="A1:F1"/>
  </mergeCells>
  <conditionalFormatting sqref="D3:D11">
    <cfRule type="cellIs" dxfId="163" priority="1" operator="equal">
      <formula>"Completed"</formula>
    </cfRule>
    <cfRule type="cellIs" dxfId="164" priority="2" operator="equal">
      <formula>"In Progress"</formula>
    </cfRule>
    <cfRule type="cellIs" dxfId="165" priority="3" operator="equal">
      <formula>"Review"</formula>
    </cfRule>
    <cfRule type="cellIs" dxfId="166" priority="4" operator="equal">
      <formula>"Blocked"</formula>
    </cfRule>
    <cfRule type="cellIs" dxfId="167" priority="5" operator="equal">
      <formula>"Not Started"</formula>
    </cfRule>
  </conditionalFormatting>
  <conditionalFormatting sqref="E3:E11">
    <cfRule type="cellIs" dxfId="168" priority="6" operator="equal">
      <formula>"Critical"</formula>
    </cfRule>
    <cfRule type="cellIs" dxfId="169" priority="7" operator="equal">
      <formula>"High"</formula>
    </cfRule>
    <cfRule type="cellIs" dxfId="170" priority="8" operator="equal">
      <formula>"Medium"</formula>
    </cfRule>
    <cfRule type="cellIs" dxfId="171" priority="9" operator="equal">
      <formula>"Low"</formula>
    </cfRule>
  </conditionalFormatting>
  <dataValidations count="4">
    <dataValidation type="list" allowBlank="1" sqref="D10:D11">
      <formula1>"Not Started,Resolved,Blocked"</formula1>
    </dataValidation>
    <dataValidation type="list" allowBlank="1" sqref="D3:D11">
      <formula1>"Not Started,Resolved,Blocked"</formula1>
    </dataValidation>
    <dataValidation type="list" allowBlank="1" sqref="E10:E11">
      <formula1>"Critical,High,Medium,Low"</formula1>
    </dataValidation>
    <dataValidation type="list" allowBlank="1" sqref="E3:E11">
      <formula1>"Critical,High,Medium,Low"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4" width="40" customWidth="1"/>
  </cols>
  <sheetData>
    <row r="1" ht="24" customHeight="1" spans="1:4" x14ac:dyDescent="0.25">
      <c r="A1" s="35" t="s">
        <v>426</v>
      </c>
      <c r="B1" s="35"/>
      <c r="C1" s="35"/>
    </row>
    <row r="2" ht="26" customHeight="1" spans="1:4" x14ac:dyDescent="0.25">
      <c r="A2" s="12" t="s">
        <v>427</v>
      </c>
      <c r="B2" s="12" t="s">
        <v>363</v>
      </c>
      <c r="C2" s="12" t="s">
        <v>46</v>
      </c>
      <c r="D2" s="12" t="s">
        <v>52</v>
      </c>
    </row>
    <row r="3" spans="1:4" x14ac:dyDescent="0.25">
      <c r="A3" s="6" t="s">
        <v>428</v>
      </c>
      <c r="B3" s="7" t="s">
        <v>30</v>
      </c>
      <c r="C3" s="7" t="s">
        <v>57</v>
      </c>
      <c r="D3" s="6" t="s">
        <v>429</v>
      </c>
    </row>
    <row r="4" spans="1:4" x14ac:dyDescent="0.25">
      <c r="A4" s="9" t="s">
        <v>430</v>
      </c>
      <c r="B4" s="10" t="s">
        <v>27</v>
      </c>
      <c r="C4" s="10" t="s">
        <v>57</v>
      </c>
      <c r="D4" s="9" t="s">
        <v>431</v>
      </c>
    </row>
    <row r="5" spans="1:4" x14ac:dyDescent="0.25">
      <c r="A5" s="6" t="s">
        <v>432</v>
      </c>
      <c r="B5" s="7" t="s">
        <v>24</v>
      </c>
      <c r="C5" s="7" t="s">
        <v>57</v>
      </c>
      <c r="D5" s="6" t="s">
        <v>433</v>
      </c>
    </row>
    <row r="6" spans="1:4" x14ac:dyDescent="0.25">
      <c r="A6" s="9" t="s">
        <v>434</v>
      </c>
      <c r="B6" s="10" t="s">
        <v>30</v>
      </c>
      <c r="C6" s="10" t="s">
        <v>57</v>
      </c>
      <c r="D6" s="9" t="s">
        <v>435</v>
      </c>
    </row>
    <row r="7" spans="1:4" x14ac:dyDescent="0.25">
      <c r="A7" s="6" t="s">
        <v>436</v>
      </c>
      <c r="B7" s="7" t="s">
        <v>21</v>
      </c>
      <c r="C7" s="7" t="s">
        <v>57</v>
      </c>
      <c r="D7" s="6" t="s">
        <v>437</v>
      </c>
    </row>
    <row r="8" spans="1:4" x14ac:dyDescent="0.25">
      <c r="A8" s="9" t="s">
        <v>438</v>
      </c>
      <c r="B8" s="10" t="s">
        <v>21</v>
      </c>
      <c r="C8" s="10" t="s">
        <v>57</v>
      </c>
      <c r="D8" s="9" t="s">
        <v>439</v>
      </c>
    </row>
    <row r="9" spans="1:4" x14ac:dyDescent="0.25">
      <c r="A9" s="6" t="s">
        <v>440</v>
      </c>
      <c r="B9" s="7" t="s">
        <v>21</v>
      </c>
      <c r="C9" s="7" t="s">
        <v>57</v>
      </c>
      <c r="D9" s="6" t="s">
        <v>441</v>
      </c>
    </row>
    <row r="10" spans="1:4" x14ac:dyDescent="0.25">
      <c r="A10" s="9" t="s">
        <v>442</v>
      </c>
      <c r="B10" s="10" t="s">
        <v>27</v>
      </c>
      <c r="C10" s="10" t="s">
        <v>57</v>
      </c>
      <c r="D10" s="9" t="s">
        <v>443</v>
      </c>
    </row>
    <row r="11" spans="1:4" x14ac:dyDescent="0.25">
      <c r="A11" s="6" t="s">
        <v>444</v>
      </c>
      <c r="B11" s="7" t="s">
        <v>30</v>
      </c>
      <c r="C11" s="7" t="s">
        <v>57</v>
      </c>
      <c r="D11" s="6" t="s">
        <v>445</v>
      </c>
    </row>
    <row r="12" spans="1:4" x14ac:dyDescent="0.25">
      <c r="A12" s="9" t="s">
        <v>446</v>
      </c>
      <c r="B12" s="10" t="s">
        <v>30</v>
      </c>
      <c r="C12" s="10" t="s">
        <v>57</v>
      </c>
      <c r="D12" s="9" t="s">
        <v>447</v>
      </c>
    </row>
    <row r="13" spans="1:4" x14ac:dyDescent="0.25">
      <c r="A13" s="6" t="s">
        <v>448</v>
      </c>
      <c r="B13" s="7" t="s">
        <v>24</v>
      </c>
      <c r="C13" s="7" t="s">
        <v>57</v>
      </c>
      <c r="D13" s="6" t="s">
        <v>449</v>
      </c>
    </row>
    <row r="14" spans="1:4" x14ac:dyDescent="0.25">
      <c r="A14" s="9" t="s">
        <v>450</v>
      </c>
      <c r="B14" s="10" t="s">
        <v>24</v>
      </c>
      <c r="C14" s="10" t="s">
        <v>57</v>
      </c>
      <c r="D14" s="9" t="s">
        <v>451</v>
      </c>
    </row>
    <row r="15" spans="1:4" x14ac:dyDescent="0.25">
      <c r="A15" s="6" t="s">
        <v>452</v>
      </c>
      <c r="B15" s="7" t="s">
        <v>21</v>
      </c>
      <c r="C15" s="7" t="s">
        <v>57</v>
      </c>
      <c r="D15" s="6" t="s">
        <v>453</v>
      </c>
    </row>
  </sheetData>
  <autoFilter ref="A2:D15"/>
  <mergeCells count="1">
    <mergeCell ref="A1:C1"/>
  </mergeCells>
  <conditionalFormatting sqref="C3:C15">
    <cfRule type="cellIs" dxfId="172" priority="1" operator="equal">
      <formula>"Completed"</formula>
    </cfRule>
    <cfRule type="cellIs" dxfId="173" priority="2" operator="equal">
      <formula>"In Progress"</formula>
    </cfRule>
    <cfRule type="cellIs" dxfId="174" priority="3" operator="equal">
      <formula>"Review"</formula>
    </cfRule>
    <cfRule type="cellIs" dxfId="175" priority="4" operator="equal">
      <formula>"Blocked"</formula>
    </cfRule>
    <cfRule type="cellIs" dxfId="176" priority="5" operator="equal">
      <formula>"Not Started"</formula>
    </cfRule>
  </conditionalFormatting>
  <dataValidations count="2">
    <dataValidation type="list" allowBlank="1" sqref="C10:C15">
      <formula1>"Not Started,In Progress,Review,Completed,Blocked"</formula1>
    </dataValidation>
    <dataValidation type="list" allowBlank="1" sqref="C3:C15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  <col min="3" max="4" width="36" customWidth="1"/>
    <col min="5" max="5" width="40" customWidth="1"/>
    <col min="6" max="6" width="36" customWidth="1"/>
  </cols>
  <sheetData>
    <row r="1" ht="24" customHeight="1" spans="1:6" x14ac:dyDescent="0.25">
      <c r="A1" s="35" t="s">
        <v>454</v>
      </c>
      <c r="B1" s="35"/>
      <c r="C1" s="35"/>
      <c r="D1" s="35"/>
      <c r="E1" s="35"/>
      <c r="F1" s="35"/>
    </row>
    <row r="2" ht="26" customHeight="1" spans="1:6" x14ac:dyDescent="0.25">
      <c r="A2" s="12" t="s">
        <v>455</v>
      </c>
      <c r="B2" s="12" t="s">
        <v>350</v>
      </c>
      <c r="C2" s="12" t="s">
        <v>348</v>
      </c>
      <c r="D2" s="12" t="s">
        <v>363</v>
      </c>
      <c r="E2" s="12" t="s">
        <v>456</v>
      </c>
      <c r="F2" s="12" t="s">
        <v>46</v>
      </c>
    </row>
    <row r="3" spans="1:6" x14ac:dyDescent="0.25">
      <c r="A3" s="7" t="s">
        <v>457</v>
      </c>
      <c r="B3" s="6" t="s">
        <v>458</v>
      </c>
      <c r="C3" s="7" t="s">
        <v>56</v>
      </c>
      <c r="D3" s="7" t="s">
        <v>30</v>
      </c>
      <c r="E3" s="6" t="s">
        <v>459</v>
      </c>
      <c r="F3" s="7" t="s">
        <v>460</v>
      </c>
    </row>
    <row r="4" spans="1:6" x14ac:dyDescent="0.25">
      <c r="A4" s="10" t="s">
        <v>461</v>
      </c>
      <c r="B4" s="9" t="s">
        <v>462</v>
      </c>
      <c r="C4" s="10" t="s">
        <v>56</v>
      </c>
      <c r="D4" s="10" t="s">
        <v>27</v>
      </c>
      <c r="E4" s="9" t="s">
        <v>463</v>
      </c>
      <c r="F4" s="10" t="s">
        <v>460</v>
      </c>
    </row>
    <row r="5" spans="1:6" x14ac:dyDescent="0.25">
      <c r="A5" s="7" t="s">
        <v>464</v>
      </c>
      <c r="B5" s="6" t="s">
        <v>465</v>
      </c>
      <c r="C5" s="7" t="s">
        <v>69</v>
      </c>
      <c r="D5" s="7" t="s">
        <v>24</v>
      </c>
      <c r="E5" s="6" t="s">
        <v>466</v>
      </c>
      <c r="F5" s="7" t="s">
        <v>460</v>
      </c>
    </row>
    <row r="6" spans="1:6" x14ac:dyDescent="0.25">
      <c r="A6" s="10" t="s">
        <v>467</v>
      </c>
      <c r="B6" s="9" t="s">
        <v>468</v>
      </c>
      <c r="C6" s="10" t="s">
        <v>69</v>
      </c>
      <c r="D6" s="10" t="s">
        <v>33</v>
      </c>
      <c r="E6" s="9" t="s">
        <v>469</v>
      </c>
      <c r="F6" s="10" t="s">
        <v>460</v>
      </c>
    </row>
    <row r="7" spans="1:6" x14ac:dyDescent="0.25">
      <c r="A7" s="7" t="s">
        <v>470</v>
      </c>
      <c r="B7" s="6" t="s">
        <v>471</v>
      </c>
      <c r="C7" s="7" t="s">
        <v>56</v>
      </c>
      <c r="D7" s="7" t="s">
        <v>36</v>
      </c>
      <c r="E7" s="6" t="s">
        <v>472</v>
      </c>
      <c r="F7" s="7" t="s">
        <v>460</v>
      </c>
    </row>
    <row r="8" spans="1:6" x14ac:dyDescent="0.25">
      <c r="A8" s="10" t="s">
        <v>473</v>
      </c>
      <c r="B8" s="9" t="s">
        <v>474</v>
      </c>
      <c r="C8" s="10" t="s">
        <v>56</v>
      </c>
      <c r="D8" s="10" t="s">
        <v>24</v>
      </c>
      <c r="E8" s="9" t="s">
        <v>475</v>
      </c>
      <c r="F8" s="10" t="s">
        <v>460</v>
      </c>
    </row>
    <row r="9" spans="1:6" x14ac:dyDescent="0.25">
      <c r="A9" s="7" t="s">
        <v>476</v>
      </c>
      <c r="B9" s="6" t="s">
        <v>477</v>
      </c>
      <c r="C9" s="7" t="s">
        <v>65</v>
      </c>
      <c r="D9" s="7" t="s">
        <v>30</v>
      </c>
      <c r="E9" s="6" t="s">
        <v>478</v>
      </c>
      <c r="F9" s="7" t="s">
        <v>460</v>
      </c>
    </row>
  </sheetData>
  <autoFilter ref="A2:F9"/>
  <mergeCells count="1">
    <mergeCell ref="A1:F1"/>
  </mergeCells>
  <conditionalFormatting sqref="C3:C9">
    <cfRule type="cellIs" dxfId="177" priority="1" operator="equal">
      <formula>"Critical"</formula>
    </cfRule>
    <cfRule type="cellIs" dxfId="178" priority="2" operator="equal">
      <formula>"High"</formula>
    </cfRule>
    <cfRule type="cellIs" dxfId="179" priority="3" operator="equal">
      <formula>"Medium"</formula>
    </cfRule>
    <cfRule type="cellIs" dxfId="180" priority="4" operator="equal">
      <formula>"Low"</formula>
    </cfRule>
  </conditionalFormatting>
  <dataValidations count="2">
    <dataValidation type="list" allowBlank="1" sqref="C3:C9">
      <formula1>"Critical,High,Medium,Low"</formula1>
    </dataValidation>
    <dataValidation type="list" allowBlank="1" sqref="F3:F9">
      <formula1>"Open,Mitigated,Closed"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5" width="40" customWidth="1"/>
  </cols>
  <sheetData>
    <row r="1" ht="24" customHeight="1" spans="1:5" x14ac:dyDescent="0.25">
      <c r="A1" s="35" t="s">
        <v>479</v>
      </c>
      <c r="B1" s="35"/>
      <c r="C1" s="35"/>
      <c r="D1" s="35"/>
      <c r="E1" s="35"/>
    </row>
    <row r="2" ht="26" customHeight="1" spans="1:5" x14ac:dyDescent="0.25">
      <c r="A2" s="12" t="s">
        <v>480</v>
      </c>
      <c r="B2" s="12" t="s">
        <v>363</v>
      </c>
      <c r="C2" s="12" t="s">
        <v>46</v>
      </c>
      <c r="D2" s="12" t="s">
        <v>481</v>
      </c>
      <c r="E2" s="12" t="s">
        <v>52</v>
      </c>
    </row>
    <row r="3" spans="1:5" x14ac:dyDescent="0.25">
      <c r="A3" s="6" t="s">
        <v>482</v>
      </c>
      <c r="B3" s="7" t="s">
        <v>24</v>
      </c>
      <c r="C3" s="7" t="s">
        <v>57</v>
      </c>
      <c r="D3" s="7" t="s">
        <v>13</v>
      </c>
      <c r="E3" s="6" t="s">
        <v>483</v>
      </c>
    </row>
    <row r="4" spans="1:5" x14ac:dyDescent="0.25">
      <c r="A4" s="9" t="s">
        <v>484</v>
      </c>
      <c r="B4" s="10" t="s">
        <v>21</v>
      </c>
      <c r="C4" s="10" t="s">
        <v>57</v>
      </c>
      <c r="D4" s="10" t="s">
        <v>13</v>
      </c>
      <c r="E4" s="9" t="s">
        <v>485</v>
      </c>
    </row>
    <row r="5" spans="1:5" x14ac:dyDescent="0.25">
      <c r="A5" s="6" t="s">
        <v>486</v>
      </c>
      <c r="B5" s="7" t="s">
        <v>30</v>
      </c>
      <c r="C5" s="7" t="s">
        <v>57</v>
      </c>
      <c r="D5" s="7" t="s">
        <v>13</v>
      </c>
      <c r="E5" s="6" t="s">
        <v>487</v>
      </c>
    </row>
    <row r="6" spans="1:5" x14ac:dyDescent="0.25">
      <c r="A6" s="9" t="s">
        <v>488</v>
      </c>
      <c r="B6" s="10" t="s">
        <v>27</v>
      </c>
      <c r="C6" s="10" t="s">
        <v>57</v>
      </c>
      <c r="D6" s="10" t="s">
        <v>13</v>
      </c>
      <c r="E6" s="9" t="s">
        <v>489</v>
      </c>
    </row>
    <row r="7" spans="1:5" x14ac:dyDescent="0.25">
      <c r="A7" s="6" t="s">
        <v>490</v>
      </c>
      <c r="B7" s="7" t="s">
        <v>30</v>
      </c>
      <c r="C7" s="7" t="s">
        <v>57</v>
      </c>
      <c r="D7" s="7" t="s">
        <v>13</v>
      </c>
      <c r="E7" s="6" t="s">
        <v>491</v>
      </c>
    </row>
    <row r="8" spans="1:5" x14ac:dyDescent="0.25">
      <c r="A8" s="9" t="s">
        <v>492</v>
      </c>
      <c r="B8" s="10" t="s">
        <v>30</v>
      </c>
      <c r="C8" s="10" t="s">
        <v>57</v>
      </c>
      <c r="D8" s="10" t="s">
        <v>13</v>
      </c>
      <c r="E8" s="9" t="s">
        <v>493</v>
      </c>
    </row>
    <row r="9" spans="1:5" x14ac:dyDescent="0.25">
      <c r="A9" s="6" t="s">
        <v>494</v>
      </c>
      <c r="B9" s="7" t="s">
        <v>21</v>
      </c>
      <c r="C9" s="7" t="s">
        <v>57</v>
      </c>
      <c r="D9" s="7" t="s">
        <v>13</v>
      </c>
      <c r="E9" s="6" t="s">
        <v>495</v>
      </c>
    </row>
    <row r="10" spans="1:5" x14ac:dyDescent="0.25">
      <c r="A10" s="9" t="s">
        <v>496</v>
      </c>
      <c r="B10" s="10" t="s">
        <v>30</v>
      </c>
      <c r="C10" s="10" t="s">
        <v>57</v>
      </c>
      <c r="D10" s="10" t="s">
        <v>13</v>
      </c>
      <c r="E10" s="9" t="s">
        <v>497</v>
      </c>
    </row>
    <row r="11" spans="1:5" x14ac:dyDescent="0.25">
      <c r="A11" s="6" t="s">
        <v>498</v>
      </c>
      <c r="B11" s="7" t="s">
        <v>24</v>
      </c>
      <c r="C11" s="7" t="s">
        <v>57</v>
      </c>
      <c r="D11" s="7" t="s">
        <v>13</v>
      </c>
      <c r="E11" s="6" t="s">
        <v>499</v>
      </c>
    </row>
    <row r="12" spans="1:5" x14ac:dyDescent="0.25">
      <c r="A12" s="9" t="s">
        <v>500</v>
      </c>
      <c r="B12" s="10" t="s">
        <v>21</v>
      </c>
      <c r="C12" s="10" t="s">
        <v>57</v>
      </c>
      <c r="D12" s="10" t="s">
        <v>13</v>
      </c>
      <c r="E12" s="9" t="s">
        <v>501</v>
      </c>
    </row>
  </sheetData>
  <autoFilter ref="A2:E12"/>
  <mergeCells count="1">
    <mergeCell ref="A1:E1"/>
  </mergeCells>
  <conditionalFormatting sqref="C3:C12">
    <cfRule type="cellIs" dxfId="181" priority="1" operator="equal">
      <formula>"Completed"</formula>
    </cfRule>
    <cfRule type="cellIs" dxfId="182" priority="2" operator="equal">
      <formula>"In Progress"</formula>
    </cfRule>
    <cfRule type="cellIs" dxfId="183" priority="3" operator="equal">
      <formula>"Review"</formula>
    </cfRule>
    <cfRule type="cellIs" dxfId="184" priority="4" operator="equal">
      <formula>"Blocked"</formula>
    </cfRule>
    <cfRule type="cellIs" dxfId="185" priority="5" operator="equal">
      <formula>"Not Started"</formula>
    </cfRule>
  </conditionalFormatting>
  <dataValidations count="2">
    <dataValidation type="list" allowBlank="1" sqref="C10:C12">
      <formula1>"Not Started,In Progress,Review,Completed,Blocked"</formula1>
    </dataValidation>
    <dataValidation type="list" allowBlank="1" sqref="C3:C12">
      <formula1>"Not Started,In Progress,Review,Completed,Blocked"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Dashboard</vt:lpstr>
      <vt:lpstr>Kanban Board</vt:lpstr>
      <vt:lpstr>Sprint 0</vt:lpstr>
      <vt:lpstr>Day 1</vt:lpstr>
      <vt:lpstr>Day 2</vt:lpstr>
      <vt:lpstr>Day 3</vt:lpstr>
      <vt:lpstr>Day 4</vt:lpstr>
      <vt:lpstr>Day 5</vt:lpstr>
      <vt:lpstr>Day 6</vt:lpstr>
      <vt:lpstr>Day 7</vt:lpstr>
      <vt:lpstr>Backend Tasks</vt:lpstr>
      <vt:lpstr>Frontend Tasks</vt:lpstr>
      <vt:lpstr>Database Tasks</vt:lpstr>
      <vt:lpstr>AI Tasks</vt:lpstr>
      <vt:lpstr>Face Recognition Tasks</vt:lpstr>
      <vt:lpstr>Documentation &amp; QA Tasks</vt:lpstr>
      <vt:lpstr>Infrastructure Tasks</vt:lpstr>
      <vt:lpstr>Integration Tracker</vt:lpstr>
      <vt:lpstr>Bug Tracker</vt:lpstr>
      <vt:lpstr>Security Checklist</vt:lpstr>
      <vt:lpstr>Daily Standup</vt:lpstr>
      <vt:lpstr>Team Workload</vt:lpstr>
      <vt:lpstr>Dependency Tracker</vt:lpstr>
      <vt:lpstr>Deployment Checklist</vt:lpstr>
      <vt:lpstr>Risks &amp; Blockers</vt:lpstr>
      <vt:lpstr>Final Handover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Enterprise Delivery Lead</dc:creator>
  <dc:title/>
  <dc:subject/>
  <dc:description/>
  <cp:keywords/>
  <cp:category/>
  <cp:lastModifiedBy>Enterprise Delivery Lead</cp:lastModifiedBy>
  <dcterms:created xsi:type="dcterms:W3CDTF">2026-06-19T12:54:47Z</dcterms:created>
  <dcterms:modified xsi:type="dcterms:W3CDTF">2026-06-19T12:54:47Z</dcterms:modified>
</cp:coreProperties>
</file>