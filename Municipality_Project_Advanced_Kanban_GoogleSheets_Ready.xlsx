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state="visible" r:id="rId4"/>
    <sheet sheetId="2" name="Kanban Board" state="visible" r:id="rId5"/>
    <sheet sheetId="3" name="Sprint 0" state="visible" r:id="rId6"/>
    <sheet sheetId="4" name="Day 1" state="visible" r:id="rId7"/>
    <sheet sheetId="5" name="Day 2" state="visible" r:id="rId8"/>
    <sheet sheetId="6" name="Day 3" state="visible" r:id="rId9"/>
    <sheet sheetId="7" name="Day 4" state="visible" r:id="rId10"/>
    <sheet sheetId="8" name="Day 5" state="visible" r:id="rId11"/>
    <sheet sheetId="9" name="Day 6" state="visible" r:id="rId12"/>
    <sheet sheetId="10" name="Day 7" state="visible" r:id="rId13"/>
    <sheet sheetId="11" name="Backend Tasks" state="visible" r:id="rId14"/>
    <sheet sheetId="12" name="Frontend Tasks" state="visible" r:id="rId15"/>
    <sheet sheetId="13" name="Database Tasks" state="visible" r:id="rId16"/>
    <sheet sheetId="14" name="AI Tasks" state="visible" r:id="rId17"/>
    <sheet sheetId="15" name="Face Recognition Tasks" state="visible" r:id="rId18"/>
    <sheet sheetId="16" name="Documentation &amp; QA Tasks" state="visible" r:id="rId19"/>
    <sheet sheetId="17" name="Infrastructure Tasks" state="visible" r:id="rId20"/>
    <sheet sheetId="18" name="Integration Tracker" state="visible" r:id="rId21"/>
    <sheet sheetId="19" name="Bug Tracker" state="visible" r:id="rId22"/>
    <sheet sheetId="20" name="Security Checklist" state="visible" r:id="rId23"/>
    <sheet sheetId="21" name="Daily Standup" state="visible" r:id="rId24"/>
    <sheet sheetId="22" name="Team Workload" state="visible" r:id="rId25"/>
    <sheet sheetId="23" name="Dependency Tracker" state="visible" r:id="rId26"/>
    <sheet sheetId="24" name="Deployment Checklist" state="visible" r:id="rId27"/>
    <sheet sheetId="25" name="Risks &amp; Blockers" state="visible" r:id="rId28"/>
    <sheet sheetId="26" name="Final Handover Checklist" state="visible" r:id="rId29"/>
    <sheet sheetId="27" name="Daily Review Log" state="visible" r:id="rId30"/>
    <sheet sheetId="28" name="Testing Tracker" state="visible" r:id="rId31"/>
    <sheet sheetId="29" name="Security Review Tracker" state="visible" r:id="rId32"/>
    <sheet sheetId="30" name="Team Usage Guide" state="visible" r:id="rId33"/>
    <sheet sheetId="31" name="Google Sheets Migration Report" state="visible" r:id="rId34"/>
  </sheets>
  <calcPr calcId="171027"/>
</workbook>
</file>

<file path=xl/sharedStrings.xml><?xml version="1.0" encoding="utf-8"?>
<sst xmlns="http://schemas.openxmlformats.org/spreadsheetml/2006/main" count="5092" uniqueCount="1182">
  <si>
    <t>AI-Powered Smart Municipal Citizen Assistance &amp; Staff Attendance Management System - Executive Dashboard</t>
  </si>
  <si>
    <t>Overall Completion %</t>
  </si>
  <si>
    <t>Blocked Tasks</t>
  </si>
  <si>
    <t>Critical Issues Open</t>
  </si>
  <si>
    <t>Open Bugs</t>
  </si>
  <si>
    <t>Security Checklist %</t>
  </si>
  <si>
    <t>Deployment Readiness %</t>
  </si>
  <si>
    <t>Demo Critical Tasks Remaining</t>
  </si>
  <si>
    <t>Open Security Issues</t>
  </si>
  <si>
    <t>Testing Completion %</t>
  </si>
  <si>
    <t>Integration Completion %</t>
  </si>
  <si>
    <t>Team Workload &amp; Progress Summary</t>
  </si>
  <si>
    <t>Module Development Status</t>
  </si>
  <si>
    <t>Day-Wise Progress Timeline</t>
  </si>
  <si>
    <t>Team Member</t>
  </si>
  <si>
    <t>Assigned Tasks</t>
  </si>
  <si>
    <t>Completed</t>
  </si>
  <si>
    <t>Pending</t>
  </si>
  <si>
    <t>Blocked</t>
  </si>
  <si>
    <t>Completion %</t>
  </si>
  <si>
    <t>Module Name</t>
  </si>
  <si>
    <t>Total Tasks</t>
  </si>
  <si>
    <t>Day</t>
  </si>
  <si>
    <t>Minha Palakkathodi</t>
  </si>
  <si>
    <t>Backend</t>
  </si>
  <si>
    <t>Sprint 0</t>
  </si>
  <si>
    <t>Adithyan N</t>
  </si>
  <si>
    <t>Frontend</t>
  </si>
  <si>
    <t>Day 1</t>
  </si>
  <si>
    <t>Fathima Hana</t>
  </si>
  <si>
    <t>Database</t>
  </si>
  <si>
    <t>Day 2</t>
  </si>
  <si>
    <t>Muhammad Sanish</t>
  </si>
  <si>
    <t>AI</t>
  </si>
  <si>
    <t>Day 3</t>
  </si>
  <si>
    <t>Fadi Ahmed</t>
  </si>
  <si>
    <t>Face Recognition</t>
  </si>
  <si>
    <t>Day 4</t>
  </si>
  <si>
    <t>Muhammed Sadik KT</t>
  </si>
  <si>
    <t>Documentation &amp; QA</t>
  </si>
  <si>
    <t>Day 5</t>
  </si>
  <si>
    <t>Infrastructure</t>
  </si>
  <si>
    <t>Day 6</t>
  </si>
  <si>
    <t>Task ID</t>
  </si>
  <si>
    <t>Module</t>
  </si>
  <si>
    <t>Task Name</t>
  </si>
  <si>
    <t>Assigned To</t>
  </si>
  <si>
    <t>Priority</t>
  </si>
  <si>
    <t>Status</t>
  </si>
  <si>
    <t>Progress %</t>
  </si>
  <si>
    <t>Due Day</t>
  </si>
  <si>
    <t>Dependency</t>
  </si>
  <si>
    <t>Deliverable</t>
  </si>
  <si>
    <t>Implementation Description</t>
  </si>
  <si>
    <t>Suggested Tech Stack</t>
  </si>
  <si>
    <t>Suggested Prompt Keywords</t>
  </si>
  <si>
    <t>Reference Documents</t>
  </si>
  <si>
    <t>Testing Status</t>
  </si>
  <si>
    <t>Security Status</t>
  </si>
  <si>
    <t>Remarks</t>
  </si>
  <si>
    <t>Demo Critical?</t>
  </si>
  <si>
    <t>TASK-INF-001</t>
  </si>
  <si>
    <t>Repository verification</t>
  </si>
  <si>
    <t>Adithyan N + Muhammad Sanish</t>
  </si>
  <si>
    <t>High</t>
  </si>
  <si>
    <t>Not Started</t>
  </si>
  <si>
    <t>None</t>
  </si>
  <si>
    <t>Verified local Git repository and node workspace structures</t>
  </si>
  <si>
    <t>Verify and review the initial local Git repository layout and workspace structure. Check configuration files integrity like package.json, eslint configurations, and node workspaces setup. Ensure folder layout complies with project standards. Document structure errors and align branching structure before coding.</t>
  </si>
  <si>
    <t>Git, Node.js, Workspace CLI</t>
  </si>
  <si>
    <t>verify git layout, node workspace config, package.json check, folder integrity</t>
  </si>
  <si>
    <t>docs/02-System-Architecture/MASTER_ARCHITECTURE_v1.md</t>
  </si>
  <si>
    <t>Check configuration files integrity</t>
  </si>
  <si>
    <t>No</t>
  </si>
  <si>
    <t>TASK-INF-002</t>
  </si>
  <si>
    <t>Git workflow setup</t>
  </si>
  <si>
    <t>Repository branching model and commit rules defined</t>
  </si>
  <si>
    <t>Define and establish standard repository branching guidelines and commit formats. Set up develop, main, and feature branch definitions on GitHub. Enforce pull request guidelines, commit tags (e.g. feat:, fix:), and merge criteria. Create a markdown documentation in docs detailing the repository rules.</t>
  </si>
  <si>
    <t>Git, GitHub, Markdown</t>
  </si>
  <si>
    <t>git workflow rules, branching strategy, pull request rules, commit guidelines</t>
  </si>
  <si>
    <t>docs/BRANCH_STRATEGY.md</t>
  </si>
  <si>
    <t>Main/develop/feature branching rules</t>
  </si>
  <si>
    <t>TASK-INF-003</t>
  </si>
  <si>
    <t>Branch setup</t>
  </si>
  <si>
    <t>Feature branches initialized on GitHub</t>
  </si>
  <si>
    <t>Initialize feature branches on the remote repository matching the project roadmap tasks list. Validate pull request pipelines and assign roles for code reviews. Set up status checks and branch protection rules for main and develop. Ensure developers can push feature branches without access conflicts.</t>
  </si>
  <si>
    <t>GitHub, Git CLI</t>
  </si>
  <si>
    <t>initialize feature branches, branch protection rules, code review assignments</t>
  </si>
  <si>
    <t>Initial pull request guidelines set</t>
  </si>
  <si>
    <t>TASK-INF-004</t>
  </si>
  <si>
    <t>MongoDB Atlas setup</t>
  </si>
  <si>
    <t>Critical</t>
  </si>
  <si>
    <t>Live MongoDB Atlas sandbox cluster initialized with access controls</t>
  </si>
  <si>
    <t>Set up a live MongoDB Atlas sandbox cluster with strict security controls. Create database users, manage credentials, and restrict network access with IP whitelist rules. Generate the production connection URI string. Validate database access locally using MongoDB Compass or terminal tools before deploying.</t>
  </si>
  <si>
    <t>MongoDB Atlas, MongoDB Compass, Network Security</t>
  </si>
  <si>
    <t>mongodb atlas setup, database clusters config, IP whitelists rules, connection string</t>
  </si>
  <si>
    <t>docs/04-Database-Architecture/SmartCity_DB_Architecture_v4.0_AI_Extension_Updated.md</t>
  </si>
  <si>
    <t>IP whitelist rules configured</t>
  </si>
  <si>
    <t>TASK-INF-005</t>
  </si>
  <si>
    <t>Environment variables</t>
  </si>
  <si>
    <t>.env.example templates configuration sheets</t>
  </si>
  <si>
    <t>Create standard environment variables configuration templates (.env.example) for backend, frontend, and AI modules. Detail all required keys like DB connection strings, JWT secret keys, and Gemini API keys. Ensure no secret files are pushed to Git by verifying .gitignore excludes .env files.</t>
  </si>
  <si>
    <t>Node.js, Dotenv, Git Ignore</t>
  </si>
  <si>
    <t>dotenv configuration, environment template, gitignore rules, api keys templates</t>
  </si>
  <si>
    <t>No secrets checked in</t>
  </si>
  <si>
    <t>TASK-INF-006</t>
  </si>
  <si>
    <t>ESLint</t>
  </si>
  <si>
    <t>Medium</t>
  </si>
  <si>
    <t>ESLint standards rules deployed to repository root</t>
  </si>
  <si>
    <t>Deploy and configure standard ESLint code styling rules at the repository root. Establish code style limits for formatting, imports, and variables declaration to maintain code quality. Test styling standards compatibility in both backend and frontend workspaces. Create npm run lint check tasks.</t>
  </si>
  <si>
    <t>Node.js, ESLint, npm</t>
  </si>
  <si>
    <t>eslint config rules, code quality checks, linter automation scripts, code style configuration</t>
  </si>
  <si>
    <t>Static code styling checks active</t>
  </si>
  <si>
    <t>TASK-INF-007</t>
  </si>
  <si>
    <t>Prettier</t>
  </si>
  <si>
    <t>Prettier formats scripts configured</t>
  </si>
  <si>
    <t>Integrate Prettier formatter scripts into the workspaces. Create the configuration rules files (.prettierrc) matching eslint specifications. Set up auto format on save configurations for Visual Studio Code or similar text editors. Validate formattings across backend, database, and client files.</t>
  </si>
  <si>
    <t>Prettier, ESLint, Editor SDK</t>
  </si>
  <si>
    <t>prettier configuration, code formatter scripts, editor styling setup, auto format guidelines</t>
  </si>
  <si>
    <t>Auto format on save verified</t>
  </si>
  <si>
    <t>TASK-INF-008</t>
  </si>
  <si>
    <t>Logging infrastructure</t>
  </si>
  <si>
    <t>Winston/Morgan logger system with data masking logic</t>
  </si>
  <si>
    <t>Deploy a centralized logging infrastructure using Winston and Morgan libraries. Design standard logging configurations to output info, warn, and error statements. Implement log transport mechanisms to files and console. Add critical data masking functions to redact sensitive client parameters or PII details.</t>
  </si>
  <si>
    <t>Node.js, Winston, Morgan, Regex</t>
  </si>
  <si>
    <t>winston logger config, morgan traffic logging, logger masking, PII redact logic</t>
  </si>
  <si>
    <t>PII credentials redact scripts applied</t>
  </si>
  <si>
    <t>TASK-INF-009</t>
  </si>
  <si>
    <t>Deployment preparation</t>
  </si>
  <si>
    <t>Day 7</t>
  </si>
  <si>
    <t>Render/Vercel MVP launch readiness report</t>
  </si>
  <si>
    <t>Prepare the deployment pipelines and configuration documents for the MVP launch. Check hosting prerequisites for Render web services and Vercel client deployment. Generate CORS policy guidelines to prevent cross-origin errors in staging. Verify build dependencies and create the final launch report.</t>
  </si>
  <si>
    <t>Render, Vercel, CORS Configuration</t>
  </si>
  <si>
    <t>production deploy checklist, hosting environments config, CORS restrictions rules, launch plan</t>
  </si>
  <si>
    <t>Production CORS policies configured</t>
  </si>
  <si>
    <t>TASK-DB-001</t>
  </si>
  <si>
    <t>User schema</t>
  </si>
  <si>
    <t>Mongoose schema for users collection</t>
  </si>
  <si>
    <t>Create Mongoose schema definitions for users collection inside the backend models folder. Design fields for email, name, password hash, role reference, and active status. Add schema validations, unique index requirements, and automatic timestamps. Seed standard administrative credentials for testing.</t>
  </si>
  <si>
    <t>Node.js, MongoDB, Mongoose</t>
  </si>
  <si>
    <t>mongoose user schema, schema validations, user collection model, database index</t>
  </si>
  <si>
    <t>Support: Adithyan N. Unique key bounds active</t>
  </si>
  <si>
    <t>TASK-DB-002</t>
  </si>
  <si>
    <t>Role schema</t>
  </si>
  <si>
    <t>Roles allocation definition mapping schemas</t>
  </si>
  <si>
    <t>Create Mongoose schema definitions for roles collection. Map role fields like role name (e.g. Citizen, Staff, Admin) and permission arrays references. Seed standard project role entries during database initialization. Implement strict integrity validations to prevent duplicate role registration.</t>
  </si>
  <si>
    <t>mongoose roles schema, role definitions map, database seeding, permissions index</t>
  </si>
  <si>
    <t>Support: Adithyan N. Predefined roles seeded</t>
  </si>
  <si>
    <t>TASK-DB-003</t>
  </si>
  <si>
    <t>Permission schema</t>
  </si>
  <si>
    <t>Permissions collection schemas definition mapping routes</t>
  </si>
  <si>
    <t>Design and deploy Mongoose schema for the system permissions collection. Define attributes like resource path, CRUD actions flags, and permission descriptors. Map roles relationship arrays to permissions collections. Provide utility scripts to seed baseline route permission indices.</t>
  </si>
  <si>
    <t>mongoose permissions model, route permission check, database seeding scripts, RBAC config</t>
  </si>
  <si>
    <t>Support: Adithyan N. RBAC maps</t>
  </si>
  <si>
    <t>TASK-DB-004</t>
  </si>
  <si>
    <t>Department schema</t>
  </si>
  <si>
    <t>Department schemas mapping employees</t>
  </si>
  <si>
    <t>Create Mongoose schema mapping departments collection in the backend models directory. Add fields for department name, lead assigned reference, code, and active staff indices list. Implement Mongoose model validations and query middleware helper methods. Seed primary departments data.</t>
  </si>
  <si>
    <t>mongoose department schema, department metadata model, indexing strategy, data seed</t>
  </si>
  <si>
    <t>Support: Adithyan N. Collection indices</t>
  </si>
  <si>
    <t>TASK-DB-005</t>
  </si>
  <si>
    <t>Complaint schema</t>
  </si>
  <si>
    <t>Complaints database models with status trackers</t>
  </si>
  <si>
    <t>Develop the complaints Mongoose database model. Define keys for tracking category, description text, citizen creator reference, current status (e.g. Open, In Progress, Resolved), coordinates, and file attachments URI strings. Enforce strict Mongoose input validators for data fields.</t>
  </si>
  <si>
    <t>mongoose complaint schema, geolocation parameters, image path string, input validations</t>
  </si>
  <si>
    <t>Support: Adithyan N. Handles attachments path strings</t>
  </si>
  <si>
    <t>Yes</t>
  </si>
  <si>
    <t>TASK-DB-006</t>
  </si>
  <si>
    <t>Complaint assignment schema</t>
  </si>
  <si>
    <t>Assignments tracking schemas mapping assignees and times</t>
  </si>
  <si>
    <t>Create Mongoose schema tracking complaints assignments history. Add attributes for complaint ID reference, assigned employee reference, manager dispatcher reference, assign date, and status tags. Add pre-save validations confirming target assignee is a valid staff user.</t>
  </si>
  <si>
    <t>mongoose assignment schema, staff reference checking, ticket lifecycle tracker, validation rule</t>
  </si>
  <si>
    <t>Support: Adithyan N. References user and complaint</t>
  </si>
  <si>
    <t>TASK-DB-007</t>
  </si>
  <si>
    <t>File tracking schema</t>
  </si>
  <si>
    <t>File_tracking and progress steps schemas mapping</t>
  </si>
  <si>
    <t>Design database schema tracking official file transfers and tracking steps. Save metadata containing tracking number, source department ID, target department ID, transfer date, and status timeline array. Implement validation rules checking timeline sequencing.</t>
  </si>
  <si>
    <t>mongoose file tracking schema, workflow timeline array, tracking code index, metadata config</t>
  </si>
  <si>
    <t>Support: Adithyan N. Tracks history steps</t>
  </si>
  <si>
    <t>TASK-DB-008</t>
  </si>
  <si>
    <t>Feedback schema</t>
  </si>
  <si>
    <t>Customer feedback rating collection schema setup</t>
  </si>
  <si>
    <t>Develop Mongoose schema mapping citizen feedback entries. Add columns for complaint ID link, rating metrics (1 to 5 scale), description feedback, and submission date. Include schema validators verifying feedback matches closed complaint IDs and ratings scale range.</t>
  </si>
  <si>
    <t>mongoose feedback schema, rating verification range, ticket integrity check, constraint validation</t>
  </si>
  <si>
    <t>Support: Adithyan N. Constraints bounds checks</t>
  </si>
  <si>
    <t>TASK-DB-009</t>
  </si>
  <si>
    <t>Attendance schema</t>
  </si>
  <si>
    <t>Staff attendance punch records logs schema mapping</t>
  </si>
  <si>
    <t>Create Mongoose schema matching staff attendance logs. Add attributes for employee ID reference, punch in time, punch out time, GPS coordinates, verification type (e.g. Biometric), and user biometric consent flag. Ensure validators checks checkin date formats.</t>
  </si>
  <si>
    <t>mongoose attendance schema, biometric log keys, geolocation validations, consent tracker</t>
  </si>
  <si>
    <t>Support: Adithyan N. Biometric template matches parameters</t>
  </si>
  <si>
    <t>TASK-DB-010</t>
  </si>
  <si>
    <t>Notification schema</t>
  </si>
  <si>
    <t>System alerts database logging schemas</t>
  </si>
  <si>
    <t>Build database schemas mapping system notification alerts. Capture information including user ID target reference, notification title, body message text, read status boolean, and dispatch channel (e.g. In-App). Add index strategies optimized for fetching unread messages.</t>
  </si>
  <si>
    <t>mongoose notification schema, read status boolean, user notification indices, query limits</t>
  </si>
  <si>
    <t>Support: Adithyan N. Unread indicators</t>
  </si>
  <si>
    <t>TASK-DB-011</t>
  </si>
  <si>
    <t>Audit log schema</t>
  </si>
  <si>
    <t>Append-only transactional events audit logging schema</t>
  </si>
  <si>
    <t>Create append-only Mongoose schema for transaction events audit logs. Save actions logs containing operator user reference, API endpoint accessed, timestamp, event parameters payload, and client IP addresses. Apply strict pre-save hooks to prevent log updates or deletions.</t>
  </si>
  <si>
    <t>mongoose audit log schema, append only controls, immutable collection hooks, activity log</t>
  </si>
  <si>
    <t>Support: Adithyan N. Strict immutability controls</t>
  </si>
  <si>
    <t>TASK-DB-012</t>
  </si>
  <si>
    <t>Chatbot session schema</t>
  </si>
  <si>
    <t>Chat conversation logs databases tracking structures</t>
  </si>
  <si>
    <t>Design database schema tracking chatbot conversation histories. Structure fields containing citizen session ID, query message, AI response text, tokens consumed counts, and RAG document source paths array. Set up time-to-live index strategies (TTL) for session records.</t>
  </si>
  <si>
    <t>mongoose chat history model, chatbot session logs, token metric keys, TTL database indexes</t>
  </si>
  <si>
    <t>Support: Adithyan N. Session TTL setup</t>
  </si>
  <si>
    <t>TASK-DB-013</t>
  </si>
  <si>
    <t>Indexes</t>
  </si>
  <si>
    <t>Unique indices mapping user emails and tracking file ID keys</t>
  </si>
  <si>
    <t>Deploy custom database indexing rules on Mongoose schemas to optimize queries. Set unique compound indexes for user emails, tracking code IDs, and geospatial indexes for coordinates in complaints and attendance. Verify index coverage reports using mongo dashboard CLI tool.</t>
  </si>
  <si>
    <t>MongoDB, Mongoose Indexing CLI</t>
  </si>
  <si>
    <t>unique database indexes, geospatial coordinate indexing, explain query plans, database tuning</t>
  </si>
  <si>
    <t>Support: Adithyan N. Index strategies verified</t>
  </si>
  <si>
    <t>TASK-DB-014</t>
  </si>
  <si>
    <t>Relationships</t>
  </si>
  <si>
    <t>Foreign object reference bounds configuration in schemas</t>
  </si>
  <si>
    <t>Enforce Mongoose models relation controls and reference keys consistency check. Configure reference checks using pre-save validation hooks on employee ID references and complaint ID fields. Add custom error responses output when target foreign records are missing.</t>
  </si>
  <si>
    <t>Node.js, MongoDB, Mongoose Schema</t>
  </si>
  <si>
    <t>foreign key reference checks, schema validation rules, data relational consistency, database design</t>
  </si>
  <si>
    <t>Support: Adithyan N. Strict Mongoose validations</t>
  </si>
  <si>
    <t>TASK-DB-015</t>
  </si>
  <si>
    <t>Validation rules</t>
  </si>
  <si>
    <t>Mongoose validators evaluating text formats and coordinate bounds</t>
  </si>
  <si>
    <t>Write custom Mongoose validators evaluating data entry integrity. Add regex formats checks on mobile numbers, validation checks on email domains, and coordinates checks for municipal geographic bounds. Test validations triggers using model mock entries.</t>
  </si>
  <si>
    <t>Node.js, MongoDB, Mongoose Validator</t>
  </si>
  <si>
    <t>mongoose regex validators, geolocation coordinate validator, input sanity checker, error handler</t>
  </si>
  <si>
    <t>Support: Adithyan N. Input sanity checker</t>
  </si>
  <si>
    <t>TASK-DB-016</t>
  </si>
  <si>
    <t>Query optimization</t>
  </si>
  <si>
    <t>Explain query plans validation analysis records</t>
  </si>
  <si>
    <t>Optimize database queries through Mongoose models tuning. Conduct explain query plans check on major dashboard routes. Confirm queries avoid collection scanning by using covered index keys. Restructure aggregation pipelines to speed up dashboard calculations.</t>
  </si>
  <si>
    <t>MongoDB, Mongoose Optimizer CLI</t>
  </si>
  <si>
    <t>explain collection scan checks, covered query matching, aggregation pipeline tuning, indexes debug</t>
  </si>
  <si>
    <t>Support: Adithyan N. Optimizing pipeline matches</t>
  </si>
  <si>
    <t>TASK-BE-001</t>
  </si>
  <si>
    <t>Express setup</t>
  </si>
  <si>
    <t>Express server layout initialized with Helmet and CORS settings</t>
  </si>
  <si>
    <t>Scaffold and initialize Express.js web server inside the backend folder. Apply secure default middleware using Helmet, standard CORS origins controls rules, and JSON request parsers. Configure logs outputs and error handling hooks. Verify server responds successfully.</t>
  </si>
  <si>
    <t>Node.js, Express.js, Helmet, CORS</t>
  </si>
  <si>
    <t>express scaffold setup, helmet secure middleware, CORS restrictions setup, routing base config</t>
  </si>
  <si>
    <t>docs/05-API-Architecture/API_Architecture_DB_Aligned_v1.0.md</t>
  </si>
  <si>
    <t>Security middleware active</t>
  </si>
  <si>
    <t>TASK-BE-002</t>
  </si>
  <si>
    <t>MongoDB connection</t>
  </si>
  <si>
    <t>Mongoose database connector with auto-retry logics</t>
  </si>
  <si>
    <t>Code the Mongoose connection adapter script with auto-retry logics. Build robust error connection hooks reporting database disconnection, connection failure, or credential limits alerts. Establish connection pool size controls to limit database loads.</t>
  </si>
  <si>
    <t>Node.js, Mongoose, MongoDB Atlas</t>
  </si>
  <si>
    <t>mongoose connection adapter, auto reconnect loop, db credentials hook, collection pool size</t>
  </si>
  <si>
    <t>Connection pool set to 10 connections max</t>
  </si>
  <si>
    <t>TASK-BE-003</t>
  </si>
  <si>
    <t>Environment configuration</t>
  </si>
  <si>
    <t>Dotenv loader checking and validating essential keys</t>
  </si>
  <si>
    <t>Write environment configuration loader module validating environment keys on startup. Verify the existence of required properties like MONGO_URI, JWT_SECRET, and PORT. Raise startup crash exceptions if mandatory keys are missing in the configuration.</t>
  </si>
  <si>
    <t>Node.js, Config Validation</t>
  </si>
  <si>
    <t>environment variable checks, schema parser config, error crash loop, bootstrap validation</t>
  </si>
  <si>
    <t>Throws startup error on missing keys</t>
  </si>
  <si>
    <t>TASK-BE-004</t>
  </si>
  <si>
    <t>Authentication APIs</t>
  </si>
  <si>
    <t>Login and signup backend API router endpoints</t>
  </si>
  <si>
    <t>Build secure authentication APIs for user registration and user login in Express.js. Retrieve payload fields, execute validations check, and hash passwords using bcrypt algorithm (rounds &gt;= 10). Return success or structured failure code payload.</t>
  </si>
  <si>
    <t>Node.js, Express, Bcrypt</t>
  </si>
  <si>
    <t>user registration api, express login route, bcrypt hashing config, user models lookup</t>
  </si>
  <si>
    <t>Bcrypt salt rounds configured</t>
  </si>
  <si>
    <t>TASK-BE-005</t>
  </si>
  <si>
    <t>JWT implementation</t>
  </si>
  <si>
    <t>Access token issuance logic mapped to JWT key payload</t>
  </si>
  <si>
    <t>Implement JWT token creation logic on successful logins. Generate signature payloads containing user ID, role, name, and department reference details. Define short access token expiration limits (e.g. 15 mins). Set up token verification helper middleware.</t>
  </si>
  <si>
    <t>Node.js, Express, JWT</t>
  </si>
  <si>
    <t>jwt signature token, token payload mapping, token expiry check, signature validation</t>
  </si>
  <si>
    <t>Token expires in 15 mins</t>
  </si>
  <si>
    <t>TASK-BE-006</t>
  </si>
  <si>
    <t>Refresh token API</t>
  </si>
  <si>
    <t>Rotating refresh token endpoints validations</t>
  </si>
  <si>
    <t>Create secure refresh token APIs supporting token rotation schemes. Maintain active refresh tokens in a cookie transport with HTTPOnly, Secure, and SameSite tags. Verify token validation and rotate credentials on access token renewal requests.</t>
  </si>
  <si>
    <t>Node.js, Express, JWT, Cookie Parser</t>
  </si>
  <si>
    <t>refresh token api, secure cookie transport, token rotation logic, session refresh route</t>
  </si>
  <si>
    <t>Secure cookie transport tags configuration</t>
  </si>
  <si>
    <t>TASK-BE-007</t>
  </si>
  <si>
    <t>Logout API</t>
  </si>
  <si>
    <t>Token cleanup and session revocation middleware endpoints</t>
  </si>
  <si>
    <t>Write session logout controller revoke endpoint. Remove client refresh token credentials, delete session tracking documents, and clear token transport cookie fields. Confirm user cannot refresh validation tokens after logging out.</t>
  </si>
  <si>
    <t>Node.js, Express, Cookie Manager</t>
  </si>
  <si>
    <t>logout controller api, token cookie clearing, session delete route, express cookie clear</t>
  </si>
  <si>
    <t>Revokes active refresh session</t>
  </si>
  <si>
    <t>TASK-BE-008</t>
  </si>
  <si>
    <t>RBAC middleware</t>
  </si>
  <si>
    <t>Gated endpoint middleware evaluating token permissions</t>
  </si>
  <si>
    <t>Build role-based access control (RBAC) middleware gating backend API endpoints. Match user role from JWT validation payload against resource paths permissions registry. Block unauthorized queries with JSON format access denied errors (403 Status).</t>
  </si>
  <si>
    <t>Node.js, Express, RBAC Logic</t>
  </si>
  <si>
    <t>rbac validation middleware, endpoint permission check, resource authorization, jwt token mapping</t>
  </si>
  <si>
    <t>Role sets validation checks</t>
  </si>
  <si>
    <t>TASK-BE-009</t>
  </si>
  <si>
    <t>Audit logging</t>
  </si>
  <si>
    <t>Transactional logging controller mapping security events</t>
  </si>
  <si>
    <t>Write audit logging transaction controller monitoring critical route access. Hook action filters recording user ID, action method, target endpoint path, metadata, and timestamp details. Save records to audit_logs database collection.</t>
  </si>
  <si>
    <t>Node.js, Express, MongoDB</t>
  </si>
  <si>
    <t>database audit log, backend logger middleware, write transaction logs, security track</t>
  </si>
  <si>
    <t>Writes directly to audit_logs collection</t>
  </si>
  <si>
    <t>TASK-BE-010</t>
  </si>
  <si>
    <t>Error middleware</t>
  </si>
  <si>
    <t>Centralized Express error handlers parsing exceptions</t>
  </si>
  <si>
    <t>Create centralized Express error processing middleware to catch runtime exceptions. Restructure errors outputting uniform JSON schemas containing custom messages and status codes. Mask inner diagnostics stack details on production environments.</t>
  </si>
  <si>
    <t>Node.js, Express Middleware</t>
  </si>
  <si>
    <t>express error middleware, centralized error formats, stack trace mask, custom exception mapper</t>
  </si>
  <si>
    <t>Redacts stack traces in production environment</t>
  </si>
  <si>
    <t>TASK-BE-011</t>
  </si>
  <si>
    <t>Validation middleware</t>
  </si>
  <si>
    <t>Body/params query schemas validator middlewares</t>
  </si>
  <si>
    <t>Deploy payload format validation middleware using Express validation libraries (e.g. Joi, Zod). Build input schemas checking parameter data styles for logins, registrations, and complaints creation. Strip out unrecognized fields.</t>
  </si>
  <si>
    <t>Node.js, Express, Joi/Zod</t>
  </si>
  <si>
    <t>request body validation, request schema filters, middleware request parser, input filter</t>
  </si>
  <si>
    <t>Strips unauthorized fields</t>
  </si>
  <si>
    <t>TASK-BE-012</t>
  </si>
  <si>
    <t>Complaint APIs</t>
  </si>
  <si>
    <t>Create, update, assign, and query complaints APIs</t>
  </si>
  <si>
    <t>Build grievance complaint CRUD endpoints. Code controllers validating citizen login context, storing geographic coordinates, attachment references, and routing ticket assign processes. Enforce resource ownership checks during update operations.</t>
  </si>
  <si>
    <t>Node.js, Express, Mongoose</t>
  </si>
  <si>
    <t>complaint endpoints crud, coordinates geo parsing, file upload paths, updates validation</t>
  </si>
  <si>
    <t>Resource ownership validations active</t>
  </si>
  <si>
    <t>TASK-BE-013</t>
  </si>
  <si>
    <t>File Tracking APIs</t>
  </si>
  <si>
    <t>Public tracking progress endpoint lookup</t>
  </si>
  <si>
    <t>Implement tracking progress lookup endpoints. Return public workflow details, status history timeline, and current assigning department. Suppress admin remarks or security audit notes from being visible in public dashboard views.</t>
  </si>
  <si>
    <t>public tracking api, file status details, workflow tracker controller, privacy mask filter</t>
  </si>
  <si>
    <t>Suppresses internal notes and logs on public view</t>
  </si>
  <si>
    <t>TASK-BE-014</t>
  </si>
  <si>
    <t>Feedback APIs</t>
  </si>
  <si>
    <t>Complaint feedback rating submission and ticket locking controller</t>
  </si>
  <si>
    <t>Develop feedback rating collection endpoints. Validate if complaint ticket status is Completed before allowing satisfaction ratings (1 to 5) to be submitted. Prevent multiple feedback submissions on the same complaint ID.</t>
  </si>
  <si>
    <t>feedback rating router, compliance status validation, complaints database lock, double rating block</t>
  </si>
  <si>
    <t>Locks complaints database records on completion</t>
  </si>
  <si>
    <t>TASK-BE-015</t>
  </si>
  <si>
    <t>Attendance APIs</t>
  </si>
  <si>
    <t>Attendance punch registers and consent flags lookup endpoints</t>
  </si>
  <si>
    <t>Write staff attendance log router APIs. Create routes punching staff check-in times and coordinates logs. Gated routes verifying active face validation checks result and explicit user biometric consent flags before updating database records.</t>
  </si>
  <si>
    <t>attendance tracking controller, punch checkin route, biometric consent checker, coordinates validations</t>
  </si>
  <si>
    <t>Validates consent status before scan logic</t>
  </si>
  <si>
    <t>TASK-BE-016</t>
  </si>
  <si>
    <t>Admin APIs</t>
  </si>
  <si>
    <t>System configurations and user details updates controls APIs</t>
  </si>
  <si>
    <t>Develop administrative configuration panel routes. Create endpoints modifying SLA ranges, managing departments list, allocating roles, and updating system configurations. Restrict access strictly to verified Admin credentials.</t>
  </si>
  <si>
    <t>Node.js, Express, RBAC</t>
  </si>
  <si>
    <t>admin configuration routes, SLA settings update, database config variables, role allocation panel</t>
  </si>
  <si>
    <t>Enforces strict Admin role checks</t>
  </si>
  <si>
    <t>TASK-BE-017</t>
  </si>
  <si>
    <t>Notification APIs</t>
  </si>
  <si>
    <t>Trigger notification records and dispatch to DB logs</t>
  </si>
  <si>
    <t>Deploy notification APIs enabling alert registration and alerts querying. Support creation of notifications records, dispatching unread updates alerts to targeted user dashboards, and updating read status on reading events.</t>
  </si>
  <si>
    <t>notification alert router, user notification logs, alerts read status, in-app notification</t>
  </si>
  <si>
    <t>System alert logs generation</t>
  </si>
  <si>
    <t>TASK-BE-018</t>
  </si>
  <si>
    <t>Rate limiting</t>
  </si>
  <si>
    <t>Rate-limiter setup restricting requests per IP window</t>
  </si>
  <si>
    <t>Apply rate limiting security middleware (e.g. express-rate-limit) on authentication and feedback API routes. Set maximum request thresholds within specific IP time frames to block database search brute force attempts.</t>
  </si>
  <si>
    <t>Node.js, Express, Express Rate Limit</t>
  </si>
  <si>
    <t>express rate limit, brute force protection, authentication route limit, api rate policy</t>
  </si>
  <si>
    <t>Prevents brute force attempts</t>
  </si>
  <si>
    <t>TASK-BE-019</t>
  </si>
  <si>
    <t>Health check API</t>
  </si>
  <si>
    <t>Low</t>
  </si>
  <si>
    <t>Diagnostics route returning system status</t>
  </si>
  <si>
    <t>Write system diagnostic health check route. Create endpoint returning status checks details for active MongoDB connectivity, memory limits details, and uptime metric logs. Mask system paths from unauthorized requests.</t>
  </si>
  <si>
    <t>Node.js, Express, System CLI</t>
  </si>
  <si>
    <t>health check endpoint, mongoose database validation, system metrics logs, diagnostics route</t>
  </si>
  <si>
    <t>Returns DB status and memory limits details</t>
  </si>
  <si>
    <t>TASK-BE-020</t>
  </si>
  <si>
    <t>API documentation</t>
  </si>
  <si>
    <t>Swagger/OpenAPI backend routing contracts layout</t>
  </si>
  <si>
    <t>Create API documentation pages using Swagger UI or OpenAPI specs. Write descriptive request bodies, response models, validation error formats, and required auth tokens scopes descriptions. Expose doc pages at /api-docs endpoint.</t>
  </si>
  <si>
    <t>Node.js, Express, Swagger, OpenAPI</t>
  </si>
  <si>
    <t>swagger ui integration, openapi schema files, api endpoints docs, backend router spec</t>
  </si>
  <si>
    <t>Complete document of schema request bodies</t>
  </si>
  <si>
    <t>TASK-FE-001</t>
  </si>
  <si>
    <t>React project setup</t>
  </si>
  <si>
    <t>Vite React scaffold template created</t>
  </si>
  <si>
    <t>Scaffold React frontend workspace template using Vite build tool. Establish dependency packages list containing Axios, React Router, TailwindCSS, and ESLint configs. Validate dev server initializes cleanly and page builds error-free.</t>
  </si>
  <si>
    <t>Node.js, Vite, React, npm</t>
  </si>
  <si>
    <t>vite react setup, frontend workspace config, client dependency install, build setup</t>
  </si>
  <si>
    <t>docs/06-UI-Architecture/Frontend_Architecture_Final_Merged_Updated.pdf</t>
  </si>
  <si>
    <t>Project workspace initialized</t>
  </si>
  <si>
    <t>TASK-FE-002</t>
  </si>
  <si>
    <t>Tailwind setup</t>
  </si>
  <si>
    <t>Tailwind utility framework config initialized</t>
  </si>
  <si>
    <t>Install and configure TailwindCSS framework inside client workspace. Configure custom project theme parameters including HSL color palette mappings, fonts, and responsive grid values in tailwind.config.js. Test styling inputs.</t>
  </si>
  <si>
    <t>TailwindCSS, PostCSS, Autoprefixer</t>
  </si>
  <si>
    <t>tailwindcss client setup, custom color layouts, theme palette map, stylesheet utility</t>
  </si>
  <si>
    <t>Custom theme color palettes mapped</t>
  </si>
  <si>
    <t>TASK-FE-003</t>
  </si>
  <si>
    <t>Folder structure</t>
  </si>
  <si>
    <t>Standard client pages/components directory structured</t>
  </si>
  <si>
    <t>Organize folder structure layout for frontend modules. Set up pages, components, assets, contexts, hooks, services, and utils subfolders inside src folder. Deploy file organization criteria guidelines file for developer teams.</t>
  </si>
  <si>
    <t>Vite, React Workspace</t>
  </si>
  <si>
    <t>folder architecture layout, files layout organization, clean code pattern, modular structure</t>
  </si>
  <si>
    <t>Standard clean coding layout</t>
  </si>
  <si>
    <t>TASK-FE-004</t>
  </si>
  <si>
    <t>Global layout</t>
  </si>
  <si>
    <t>Responsive sidebars and navigation headers layouts</t>
  </si>
  <si>
    <t>Build global application layout components including responsive sidebars, main navigation headers, and content containers. Ensure menus collapse on mobile viewports. Integrate user profile card previews and notifications indicator buttons.</t>
  </si>
  <si>
    <t>React, TailwindCSS, Heroicons</t>
  </si>
  <si>
    <t>global sidebar component, header navbar layouts, mobile drawer controls, desktop layout shell</t>
  </si>
  <si>
    <t>Mobile responsive shell layout</t>
  </si>
  <si>
    <t>TASK-FE-005</t>
  </si>
  <si>
    <t>Routing</t>
  </si>
  <si>
    <t>React Router paths configuration mapping</t>
  </si>
  <si>
    <t>Integrate React Router library setup. Define paths mappings for public citizen homepages, auth views, dashboards, complaints management panels, tracking search views, and settings. Build fallback routes catching unmatched paths.</t>
  </si>
  <si>
    <t>React, React Router DOM</t>
  </si>
  <si>
    <t>react router client, path route definitions, route routing manager, browser paths map</t>
  </si>
  <si>
    <t>URL router structure finalized</t>
  </si>
  <si>
    <t>TASK-FE-006</t>
  </si>
  <si>
    <t>Protected routes</t>
  </si>
  <si>
    <t>Route wrapper gating views based on user login token</t>
  </si>
  <si>
    <t>Create reusable React route guard components that prevent unauthorized users from accessing protected pages. Verify JWT token validity and user roles before rendering pages. Redirect unauthenticated users to the login page and unauthorized users to an access denied page. Integrate with React Router and centralized authentication context/store. Test by attempting direct URL access to restricted routes.</t>
  </si>
  <si>
    <t>React, React Router, Context API</t>
  </si>
  <si>
    <t>client route guard, role check component, guest redirect route, route permission gate</t>
  </si>
  <si>
    <t>Redirects guest to login page</t>
  </si>
  <si>
    <t>TASK-FE-007</t>
  </si>
  <si>
    <t>Axios client</t>
  </si>
  <si>
    <t>Custom Axios client class initialized</t>
  </si>
  <si>
    <t>Develop Axios API client service setup. Configure base URL matching backend gateway, timeout limits, and default request headers definitions. Include error processing logic capturing standard network errors or request cancellations.</t>
  </si>
  <si>
    <t>Node.js, Axios Client, Express API</t>
  </si>
  <si>
    <t>axios client config, api routing base, endpoint timeout handler, network connection check</t>
  </si>
  <si>
    <t>Base configuration templates</t>
  </si>
  <si>
    <t>TASK-FE-008</t>
  </si>
  <si>
    <t>API interceptors</t>
  </si>
  <si>
    <t>JWT token injection request/response interceptors</t>
  </si>
  <si>
    <t>Implement Axios interceptors injecting JWT validation credentials automatically. Write response interceptors monitoring 401 Unauthorized codes to trigger token refresh sequences or clean up local storage caches and force login views.</t>
  </si>
  <si>
    <t>Node.js, Axios Interceptors, JWT Token</t>
  </si>
  <si>
    <t>jwt request interceptor, token refresh hooks, axios token injector, unauthorized handler</t>
  </si>
  <si>
    <t>Auto attaches auth tokens to headers</t>
  </si>
  <si>
    <t>TASK-FE-009</t>
  </si>
  <si>
    <t>Authentication pages</t>
  </si>
  <si>
    <t>Responsive Login and registration forms UI layouts</t>
  </si>
  <si>
    <t>Create responsive login and citizen registration form interfaces. Integrate client-side formatting checks for passwords strength, mobile numbers regex structures, and email formats. Validate error feedback alerts display on validation failures.</t>
  </si>
  <si>
    <t>React, TailwindCSS, Form State</t>
  </si>
  <si>
    <t>login layout ui, citizen registration form, input validation bounds, input error displays</t>
  </si>
  <si>
    <t>Client side input validation rules active</t>
  </si>
  <si>
    <t>TASK-FE-010</t>
  </si>
  <si>
    <t>Citizen Dashboard</t>
  </si>
  <si>
    <t>Grievance list overview panel and stats widgets UI</t>
  </si>
  <si>
    <t>Develop the main Citizen Dashboard panel view. Design summary statistics widgets showcasing total complaints logged, active tickets count, and completed complaints. Include filter selectors filtering complaints list details.</t>
  </si>
  <si>
    <t>React, TailwindCSS, Lucide Icons</t>
  </si>
  <si>
    <t>citizen portal interface, dashboard tracking view, tickets status table, citizen statistics widgets</t>
  </si>
  <si>
    <t>Overview dashboard for citizen portals</t>
  </si>
  <si>
    <t>TASK-FE-011</t>
  </si>
  <si>
    <t>Complaint Management UI</t>
  </si>
  <si>
    <t>Complaint intake form components with file attachment uploaders</t>
  </si>
  <si>
    <t>Build complaint intake form dashboard view. Support file attachments uploads, geographic coordinates input using maps plugins or geolocation browsers, category select input, and description text fields. Validate constraints checks.</t>
  </si>
  <si>
    <t>React, TailwindCSS, Geolocation API</t>
  </si>
  <si>
    <t>complaint submission layout, file attach validation, coordinates browser picker, form submittals</t>
  </si>
  <si>
    <t>File type constraints validated</t>
  </si>
  <si>
    <t>TASK-FE-012</t>
  </si>
  <si>
    <t>File Tracking UI</t>
  </si>
  <si>
    <t>Public timeline tracking status lookup bar</t>
  </si>
  <si>
    <t>Implement File Tracking UI page. Design search tracking number input fields routing search events. Render visual progress timeline components displaying historic departments processing steps, current locations, and signatures.</t>
  </si>
  <si>
    <t>React, TailwindCSS, CSS Transition</t>
  </si>
  <si>
    <t>file tracking timeline, search status lookup, processing steps progress, tracking stepper ui</t>
  </si>
  <si>
    <t>Visual timeline progress trackers</t>
  </si>
  <si>
    <t>TASK-FE-013</t>
  </si>
  <si>
    <t>Feedback UI</t>
  </si>
  <si>
    <t>Satisfaction ratings component locking solved complaints</t>
  </si>
  <si>
    <t>Design grievance feedback ratings dashboard card. Create interactive rating stars icons enabling feedback ratings (1 to 5 scale), text feedback fields, and locking features restricting feedback updates on submission.</t>
  </si>
  <si>
    <t>React, TailwindCSS, React Icons</t>
  </si>
  <si>
    <t>grievance feedback card, ratings scale component, feedback comment panel, ticket locking UI</t>
  </si>
  <si>
    <t>1-to-5 star feedback rating</t>
  </si>
  <si>
    <t>TASK-FE-014</t>
  </si>
  <si>
    <t>Staff Dashboard UI</t>
  </si>
  <si>
    <t>Kanban view and ticket updates action buttons</t>
  </si>
  <si>
    <t>Develop the Staff Dashboard workspace panel. Design interactive Kanban board tracking lists categorized by grievance status. Enable task state update buttons, ticket assign selectors, and search filters.</t>
  </si>
  <si>
    <t>React, TailwindCSS, Kanban Utilities</t>
  </si>
  <si>
    <t>staff console layout, kanban board workspace, task status column, employee ticket picker</t>
  </si>
  <si>
    <t>Workspace console for employees</t>
  </si>
  <si>
    <t>TASK-FE-015</t>
  </si>
  <si>
    <t>Attendance UI</t>
  </si>
  <si>
    <t>Webcam consent prompt and face scan punch window</t>
  </si>
  <si>
    <t>Build staff biometric attendance punch interface. Design webcam feed console overlaying a scanner guidelines box. Include consent tick flags, punch triggers, geolocation fetching steps, and liveness check indicators.</t>
  </si>
  <si>
    <t>React, HTML5 Camera API, CSS Canvas</t>
  </si>
  <si>
    <t>webcam attendance interface, checkin punch layout, biometric consent tick, camera stream box</t>
  </si>
  <si>
    <t>Liveness prompt overlay layout</t>
  </si>
  <si>
    <t>TASK-FE-016</t>
  </si>
  <si>
    <t>Chatbot UI</t>
  </si>
  <si>
    <t>Conversational chat container overlays widget UI</t>
  </si>
  <si>
    <t>Create chatbot workspace overlays container layout. Build conversational message thread logs panel, user chat prompt text area, sending indicators, source reference document tags, and clear chat controls.</t>
  </si>
  <si>
    <t>React, TailwindCSS, Framer Motion</t>
  </si>
  <si>
    <t>ai chatbot popup, messaging history container, user prompts text, gemini chat panel</t>
  </si>
  <si>
    <t>Gemini assistant layout UI</t>
  </si>
  <si>
    <t>TASK-FE-017</t>
  </si>
  <si>
    <t>Admin Dashboard UI</t>
  </si>
  <si>
    <t>User lists management, SLAs settings, and parameters tables</t>
  </si>
  <si>
    <t>Develop Admin Dashboard settings panels views. Support parameters data tables configuration, SLA threshold sliders controls, user roles list manager, department creation, and configuration values update fields.</t>
  </si>
  <si>
    <t>React, TailwindCSS, SLA Controller</t>
  </si>
  <si>
    <t>admin configuration panel, sla thresholds slider, user roles list, departments manager table</t>
  </si>
  <si>
    <t>SLA thresholds controller views</t>
  </si>
  <si>
    <t>TASK-FE-018</t>
  </si>
  <si>
    <t>Notifications UI</t>
  </si>
  <si>
    <t>Alert toasts lists dropdown console UI</t>
  </si>
  <si>
    <t>Build real-time notification alert toasts overlays elements. Create message logs dropdown panels in top navigation menus displaying unread alert summaries. Integrate marked read action triggers.</t>
  </si>
  <si>
    <t>React, TailwindCSS, Portal hooks</t>
  </si>
  <si>
    <t>notification toast popup, header dropdown console, alerts log template, notification status toggle</t>
  </si>
  <si>
    <t>Toast popups integrations</t>
  </si>
  <si>
    <t>TASK-FE-019</t>
  </si>
  <si>
    <t>Reusable Components</t>
  </si>
  <si>
    <t>Standard buttons, forms input fields, modal dialogs library</t>
  </si>
  <si>
    <t>Write reusable UI components components library. Construct unified designs for inputs, custom buttons, modal dialog containers, loader spinners, feedback alert boxes, and dropdown select fields, matching styling criteria.</t>
  </si>
  <si>
    <t>React, TailwindCSS, Modular CSS</t>
  </si>
  <si>
    <t>reusable input components, customized button designs, modal popup wrapper, common asset styles</t>
  </si>
  <si>
    <t>Common component assets</t>
  </si>
  <si>
    <t>TASK-FE-020</t>
  </si>
  <si>
    <t>Responsive fixes</t>
  </si>
  <si>
    <t>Media queries tweaks on mobile viewports</t>
  </si>
  <si>
    <t>Apply layout fixes addressing responsiveness issues on mobile views. Audit fluid grids designs, flex configurations, image parameters, and responsive breakpoints adjustments. Test sidebar layouts collapsed rules.</t>
  </si>
  <si>
    <t>CSS, Flexbox, Tailwind Media Queries</t>
  </si>
  <si>
    <t>mobile responsive debugging, responsive flex settings, mobile navigation menu, layout breaks</t>
  </si>
  <si>
    <t>Fluid grids testing</t>
  </si>
  <si>
    <t>TASK-FE-021</t>
  </si>
  <si>
    <t>Frontend API integration</t>
  </si>
  <si>
    <t>Connect React layouts to Express server routes API endpoints</t>
  </si>
  <si>
    <t>Map and connect frontend services controllers to backend Express routes endpoints. Connect logins processes, complaint forms submittals, trackers query routing, and chat stream endpoints. Verify payloads data mapping.</t>
  </si>
  <si>
    <t>React, Axios, REST API Integration</t>
  </si>
  <si>
    <t>integrate api connections, react page request, backend endpoint mapping, rest query controller</t>
  </si>
  <si>
    <t>Integration mapping verified</t>
  </si>
  <si>
    <t>TASK-FE-022</t>
  </si>
  <si>
    <t>Error boundaries</t>
  </si>
  <si>
    <t>React fallback boundaries catching rendering errors</t>
  </si>
  <si>
    <t>Write custom React error boundary wrappers capturing rendering exceptions. Prevent app crash locks by displaying clean recovery warnings templates. Exclude core developer debug logs stack details from user-facing screens.</t>
  </si>
  <si>
    <t>React Component SDK</t>
  </si>
  <si>
    <t>react error boundary, react rendering recovery, application fallback layout, crash warning screens</t>
  </si>
  <si>
    <t>No stack details shown in production UI</t>
  </si>
  <si>
    <t>TASK-FE-023</t>
  </si>
  <si>
    <t>Loading components</t>
  </si>
  <si>
    <t>Standardized skeleton loader elements</t>
  </si>
  <si>
    <t>Build visual skeleton loader components mimicking page layouts during loading events. Design loading indicators representing statistics lists, text blocks, table rows, and dashboard blocks to improve perceived speeds.</t>
  </si>
  <si>
    <t>React, TailwindCSS, Shimmer Animation</t>
  </si>
  <si>
    <t>skeleton card loaders, page loading layout, shimmer CSS animations, data fetching wrapper</t>
  </si>
  <si>
    <t>Visual placeholders setup</t>
  </si>
  <si>
    <t>TASK-FE-024</t>
  </si>
  <si>
    <t>Final UI testing</t>
  </si>
  <si>
    <t>E2E visual verification and usability test runs report</t>
  </si>
  <si>
    <t>Conduct final user interface tests runs check. Perform compatibility checks on desktop and mobile web layout styles, test user flow actions sequences, verify accessibility elements, and generate frontend testing sign-off logs.</t>
  </si>
  <si>
    <t>React, DevTools, Usability Audit CLI</t>
  </si>
  <si>
    <t>user interface testing, mobile viewport simulation, client navigation checks, final design audit</t>
  </si>
  <si>
    <t>UX verification pass signoff</t>
  </si>
  <si>
    <t>TASK-AI-001</t>
  </si>
  <si>
    <t>Gemini integration</t>
  </si>
  <si>
    <t>Gemini API client connection script with prompt instructions</t>
  </si>
  <si>
    <t>Integrate Google Gemini API into the AI service layer. Create a dedicated service responsible for receiving prompts, invoking Gemini, and returning formatted responses. Store API keys securely using environment variables. Implement error handling, rate limiting, and response logging. Test responses using sample municipal queries.</t>
  </si>
  <si>
    <t>Node.js, Google Gemini SDK, Dotenv</t>
  </si>
  <si>
    <t>gemini api integration, ai service gateway, developer api keys, request parameters check</t>
  </si>
  <si>
    <t>docs/07-AI-Architecture/AI_Architecture_Final_Submission_Updated.pdf</t>
  </si>
  <si>
    <t>RAG context grounding middleware</t>
  </si>
  <si>
    <t>TASK-AI-002</t>
  </si>
  <si>
    <t>Prompt engineering</t>
  </si>
  <si>
    <t>System instructions locking AI answers within municipality docs</t>
  </si>
  <si>
    <t>Write prompt engineering system parameters constraining AI output answers within authorized municipal domains files contents. Construct grounding checks rules preventing hallucinated data entries in chatbot responses.</t>
  </si>
  <si>
    <t>Google Gemini SDK, Prompt Design</t>
  </si>
  <si>
    <t>prompt system instructions, gemini grounding prompts, RAG system prompt, prompt templates design</t>
  </si>
  <si>
    <t>Strict grounding bounds</t>
  </si>
  <si>
    <t>TASK-AI-003</t>
  </si>
  <si>
    <t>Chatbot API</t>
  </si>
  <si>
    <t>Express server routing chat session controller endpoints</t>
  </si>
  <si>
    <t>Develop chatbot backend router Express endpoints. Implement controllers verifying active user context, loading session records, proxying queries to Gemini model, parsing responses, and saving history records in database.</t>
  </si>
  <si>
    <t>chat api endpoint, express session router, chatbot request handlers, conversation log pipeline</t>
  </si>
  <si>
    <t>Logs sessions to chatbot DB logs</t>
  </si>
  <si>
    <t>TASK-AI-004</t>
  </si>
  <si>
    <t>OCR service</t>
  </si>
  <si>
    <t>PDF/image character recognition text extractor service</t>
  </si>
  <si>
    <t>Deploy document processing OCR services parsing attached files. Extract textual data from pdf documents or images formats. Configure secure sandbox processes settings running file parsing tasks safely.</t>
  </si>
  <si>
    <t>Node.js, Tesseract.js / Cloud Vision API, Sandbox</t>
  </si>
  <si>
    <t>ocr text scanner, text parser service, pdf parsing wrapper, document text search</t>
  </si>
  <si>
    <t>Sandbox process execution setup</t>
  </si>
  <si>
    <t>TASK-AI-005</t>
  </si>
  <si>
    <t>OCR validation</t>
  </si>
  <si>
    <t>Extracted texts checks validating document details matching</t>
  </si>
  <si>
    <t>Create text checks validating parser outputs correctness. Verify parsed tax receipts, property licenses or application documents data patterns match registration credentials. Design matching tolerance check algorithms.</t>
  </si>
  <si>
    <t>Node.js, Regex Data Extraction</t>
  </si>
  <si>
    <t>document validation algorithm, regex pattern matching, parsed metadata check, content validation</t>
  </si>
  <si>
    <t>Verify metadata matching limits</t>
  </si>
  <si>
    <t>TASK-AI-006</t>
  </si>
  <si>
    <t>Face recognition core</t>
  </si>
  <si>
    <t>Python comparison scripts checking face points similarity</t>
  </si>
  <si>
    <t>Develop python face comparisons script calculating landmark indices. Load image inputs arrays, extract coordinate landmark parameters, compare distances ratios, and output matching scores metrics. Optimize calculations speeds.</t>
  </si>
  <si>
    <t>Python, Face Recognition, NumPy</t>
  </si>
  <si>
    <t>face landmarks extraction, distance matrix score, python image processing, biometric model matching</t>
  </si>
  <si>
    <t>Volatile memory calculations</t>
  </si>
  <si>
    <t>TASK-AI-007</t>
  </si>
  <si>
    <t>Attendance recognition service</t>
  </si>
  <si>
    <t>Biometrics validation punch connector API</t>
  </si>
  <si>
    <t>Build biometrics validation connection service joining Python script outputs with attendance APIs endpoints. Validate matching scores against strict FAR/FRR threshold targets to determine staff verification status.</t>
  </si>
  <si>
    <t>Node.js, Python Shell, Express Gateway</t>
  </si>
  <si>
    <t>attendance punch service, python backend shell, biometric threshold config, checkin connector</t>
  </si>
  <si>
    <t>Liveness score validation criteria check</t>
  </si>
  <si>
    <t>TASK-AI-008</t>
  </si>
  <si>
    <t>AI testing</t>
  </si>
  <si>
    <t>Biometrics matching FAR/FRR testing checklist documentation</t>
  </si>
  <si>
    <t>Conduct accuracy check runs for face verification engines. Document False Acceptance Rate (FAR) and False Rejection Rate (FRR) levels details under varying webcam light conditions. Generate accuracy analysis checklists.</t>
  </si>
  <si>
    <t>Python, Quality Audit Scripts</t>
  </si>
  <si>
    <t>far frr analysis, camera light test, biometric accuracy audit, validation summary log</t>
  </si>
  <si>
    <t>Checks accuracy scales</t>
  </si>
  <si>
    <t>TASK-AI-009</t>
  </si>
  <si>
    <t>Response optimization</t>
  </si>
  <si>
    <t>Fine-tuned prompt parameters shortening delay intervals</t>
  </si>
  <si>
    <t>Optimize Gemini model prompt settings reducing latency responses intervals. Refine context sizes, reduce document chunks payload lengths, and configure prompt caching options to speed up chatbot loading times.</t>
  </si>
  <si>
    <t>Google Gemini API, RAG Pipeline Tuning</t>
  </si>
  <si>
    <t>chatbot response speed, context token caching, prompt length optimization, response latency reduction</t>
  </si>
  <si>
    <t>RAG search optimizations</t>
  </si>
  <si>
    <t>TASK-FR-001</t>
  </si>
  <si>
    <t>Dataset Collection</t>
  </si>
  <si>
    <t>Standardized baseline test faces calibration datasets</t>
  </si>
  <si>
    <t>Assemble calibration test datasets containing face snapshots. Restructure datasets files tracking varying head tilts, diverse lighting parameters, and camera resolution configurations. Ensure no images are added to source control.</t>
  </si>
  <si>
    <t>Python, File System CLI, Git</t>
  </si>
  <si>
    <t>calibrate dataset configuration, test image assets, face snapshots array, git exclude rules</t>
  </si>
  <si>
    <t>No images checked in repository</t>
  </si>
  <si>
    <t>TASK-FR-002</t>
  </si>
  <si>
    <t>Prototype Refinement</t>
  </si>
  <si>
    <t>Optimized points extraction models</t>
  </si>
  <si>
    <t>Refine face recognition core script checking landmarks distance calculations logic. Test script calculations against calibration dataset assets, calibrate thresholds margins, and include basic anti-spoofing tests.</t>
  </si>
  <si>
    <t>Python, OpenCV, NumPy</t>
  </si>
  <si>
    <t>refine biometric prototype, face verification thresholds, anti spoof validation, distance calculations</t>
  </si>
  <si>
    <t>Anti-spoofing tests calibration</t>
  </si>
  <si>
    <t>TASK-FR-003</t>
  </si>
  <si>
    <t>Camera Integration Testing</t>
  </si>
  <si>
    <t>HTML5 webcam access scripts checks report</t>
  </si>
  <si>
    <t>Test browser camera integration across Chrome, Edge, and Firefox. Verify permission requests, webcam initialization, image capture quality, and error handling. Ensure fallback behavior works when camera access is denied. Document issues and report compatibility problems.</t>
  </si>
  <si>
    <t>HTML5 Camera API, JS Browser Test</t>
  </si>
  <si>
    <t>webcam browser permissions, camera initialize check, browser support limits, stream errors log</t>
  </si>
  <si>
    <t>Confirm permissions logic</t>
  </si>
  <si>
    <t>TASK-FR-004</t>
  </si>
  <si>
    <t>Attendance Workflow Testing</t>
  </si>
  <si>
    <t>Verify biometric punch registration triggers checkin updates</t>
  </si>
  <si>
    <t>Verify the biometrics attendance workflow logic connection. Confirm webcam snapshot events trigger coordinates fetching sequences, pass payload details to Python shell scripts, and record success checkins in database.</t>
  </si>
  <si>
    <t>Node.js, Express, Python Integration</t>
  </si>
  <si>
    <t>biometric checkin verify, camera punch test, workflow integration check, attendance logger</t>
  </si>
  <si>
    <t>Strict consent checker gating attendance validation</t>
  </si>
  <si>
    <t>TASK-FR-005</t>
  </si>
  <si>
    <t>Recognition Accuracy Testing</t>
  </si>
  <si>
    <t>FAR and FRR metrics check data log summary</t>
  </si>
  <si>
    <t>Test biometric validation engine resistance against spoof attacks. Verify verification logs reject printed face photos, mock video feeds, and digital face captures. Document FAR metrics under attack conditions.</t>
  </si>
  <si>
    <t>Python, Biometric Audit Tools</t>
  </si>
  <si>
    <t>spoofing attack tests, print photo reject, biometric vulnerability check, validation thresholds log</t>
  </si>
  <si>
    <t>Audits against spoof attacks</t>
  </si>
  <si>
    <t>TASK-FR-006</t>
  </si>
  <si>
    <t>Cross-Browser Camera Testing</t>
  </si>
  <si>
    <t>Camera compatibility verification checks results log</t>
  </si>
  <si>
    <t>Validate webcam permissions and feed loading functions across Safari, Chrome, Firefox, and Edge. Audit camera initialization exceptions, verify fallbacks setups, and save cross-browser checks logs.</t>
  </si>
  <si>
    <t>Browser DevTools, JavaScript API</t>
  </si>
  <si>
    <t>cross browser camera, webcam compatibility table, browser camera exception, permission test log</t>
  </si>
  <si>
    <t>Webcam permissions tests on Safari/Firefox/Chrome</t>
  </si>
  <si>
    <t>TASK-FR-007</t>
  </si>
  <si>
    <t>Scanner UI Review</t>
  </si>
  <si>
    <t>Webcam canvas box layout alignment reviews logs</t>
  </si>
  <si>
    <t>Review biometric scanner overlay UI box alignment styles. Confirm responsive designs are correctly placed on mobile screen sizes, web feed scaling runs cleanly, and liveness guidelines indicator prompts show clearly.</t>
  </si>
  <si>
    <t>React, CSS Flexbox, TailwindCSS</t>
  </si>
  <si>
    <t>biometric overlay layout, camera frame wrapper, mobile webcam responsive, UI layout reviews</t>
  </si>
  <si>
    <t>UI responsiveness check</t>
  </si>
  <si>
    <t>TASK-FR-008</t>
  </si>
  <si>
    <t>System Integration Testing</t>
  </si>
  <si>
    <t>End to end biometrics validations verification logs</t>
  </si>
  <si>
    <t>Run end-to-end integration tests on biometrics attendance routes. Verify verification punches trigger updates across admin config panels, update dashboard summaries, and log transaction details in audit collections.</t>
  </si>
  <si>
    <t>Node.js, Express, E2E Test Suite</t>
  </si>
  <si>
    <t>biometric end to end, attendance integration audit, transaction updates validation, db updates trace</t>
  </si>
  <si>
    <t>Gating RBAC reviews verified</t>
  </si>
  <si>
    <t>TASK-FR-009</t>
  </si>
  <si>
    <t>Camera Permission Testing</t>
  </si>
  <si>
    <t>Verification checklists logging permission locks and denials checks</t>
  </si>
  <si>
    <t>Verify webcam consent check validation behavior. Verify attendance routes block punch-in requests and output error alerts if user has not ticked the consent checklist options box before starting scans.</t>
  </si>
  <si>
    <t>Node.js, Express, React state</t>
  </si>
  <si>
    <t>biometric consent validations, webcam consent check, block scanner logic, consent gate test</t>
  </si>
  <si>
    <t>docs/03-Security-Architecture/Security_Access_Control_Architecture_Document.md</t>
  </si>
  <si>
    <t>Checks fallback options</t>
  </si>
  <si>
    <t>TASK-QA-001</t>
  </si>
  <si>
    <t>Requirement traceability</t>
  </si>
  <si>
    <t>RTM spreadsheet linking requirements to components code</t>
  </si>
  <si>
    <t>Develop the Requirement Traceability Matrix (RTM) document. Map SRS features targets to database schemas layouts, api route controllers, and frontend pages. Verify complete specification coverage in active worksheets.</t>
  </si>
  <si>
    <t>Markdown, Excel Workspace</t>
  </si>
  <si>
    <t>rtm document structure, srs traceability mapping, specification validation index, quality metrics</t>
  </si>
  <si>
    <t>docs/01-SRS/SRS_AI_Powered_Municipality_Management_Portal_Updated.docx</t>
  </si>
  <si>
    <t>Traceability index setup</t>
  </si>
  <si>
    <t>TASK-QA-002</t>
  </si>
  <si>
    <t>Test case creation</t>
  </si>
  <si>
    <t>Functional test cases suite covering citizen/staff actions</t>
  </si>
  <si>
    <t>Write manual testing scripts covering citizen registrations, complaints logging lifecycle, file tracking number search queries, and biometric attendance logs. Detail expected results formats for testers.</t>
  </si>
  <si>
    <t>Markdown, QA Test Sheets</t>
  </si>
  <si>
    <t>manual test script, user action validations, expected results table, test case layout</t>
  </si>
  <si>
    <t>Manual check sheets ready</t>
  </si>
  <si>
    <t>TASK-QA-003</t>
  </si>
  <si>
    <t>UAT preparation</t>
  </si>
  <si>
    <t>User acceptance testing checklist layout schemas</t>
  </si>
  <si>
    <t>Design User Acceptance Testing (UAT) checklists sheets. Structure validation fields verifying citizen dashboard features, staff portal Kanban controls, admin parameter sliders, and chatbot conversation accuracy.</t>
  </si>
  <si>
    <t>Excel Workbooks, Markdown</t>
  </si>
  <si>
    <t>uat checklist templates, user acceptance verification, dashboard validation logs, client signup signoff</t>
  </si>
  <si>
    <t>Acceptance checklist templates</t>
  </si>
  <si>
    <t>TASK-QA-004</t>
  </si>
  <si>
    <t>Documentation review</t>
  </si>
  <si>
    <t>Verification and correction checklists for all docs</t>
  </si>
  <si>
    <t>Review and compile project documents package. Check structure mappings, audit pending files registries, confirm version logs consistency, and prepare the implementation-readiness compliance reports summaries.</t>
  </si>
  <si>
    <t>Markdown, Document Tools</t>
  </si>
  <si>
    <t>project documents compile, architecture review, compliance check report, version audit logs</t>
  </si>
  <si>
    <t>Checks repository documents integrity</t>
  </si>
  <si>
    <t>TASK-QA-005</t>
  </si>
  <si>
    <t>Security checklist review</t>
  </si>
  <si>
    <t>Security validation gates signed reports</t>
  </si>
  <si>
    <t>Execute security checklist verification audits. Check configurations ensuring no plaintext variables are committed in source code, review password hashes logic settings, check JWT configurations, and compile signed safety report.</t>
  </si>
  <si>
    <t>Markdown, Security Review Tools</t>
  </si>
  <si>
    <t>security check audit, password hashing config, jwt validation gate, signoff compliance tracker</t>
  </si>
  <si>
    <t>Checks details audits validation</t>
  </si>
  <si>
    <t>TASK-QA-006</t>
  </si>
  <si>
    <t>QA reports</t>
  </si>
  <si>
    <t>System QA test validation results report</t>
  </si>
  <si>
    <t>Synthesize QA test results summaries. Detail total test scenarios ran, report overall success rates metrics, document unresolved bug registries, and write the quality assurance results checklist reports.</t>
  </si>
  <si>
    <t>Markdown, Excel Graphs</t>
  </si>
  <si>
    <t>qa results dashboard, test pass statistics, open bug tracker, test signoff document</t>
  </si>
  <si>
    <t>Test pass metrics logs summary</t>
  </si>
  <si>
    <t>TASK-QA-007</t>
  </si>
  <si>
    <t>Bug verification</t>
  </si>
  <si>
    <t>QA verified bug tracker status validation logs</t>
  </si>
  <si>
    <t>Confirm developer bug corrections details. Test Axios interceptors retry behaviors under expired tokens conditions, verify geo constraints on complaint submissions, check prompt bounds on chatbots, and update bug status tags.</t>
  </si>
  <si>
    <t>Postman, Axios Debugger, Git</t>
  </si>
  <si>
    <t>verify bug fix, query parameters debug, token retry loop, verify status update</t>
  </si>
  <si>
    <t>Verify fix statuses</t>
  </si>
  <si>
    <t>TASK-QA-008</t>
  </si>
  <si>
    <t>Final documentation</t>
  </si>
  <si>
    <t>Consolidated developer documentation package</t>
  </si>
  <si>
    <t>Format developer deployment documentation guidelines. Detail backend hosting settings, database server coordinates, database users privileges profiles, and create repository navigation maps for developers.</t>
  </si>
  <si>
    <t>Markdown, Documentation CLI</t>
  </si>
  <si>
    <t>developer setup instructions, backend deploy guide, database settings doc, folder structures map</t>
  </si>
  <si>
    <t>Complete architecture references</t>
  </si>
  <si>
    <t>TASK-QA-009</t>
  </si>
  <si>
    <t>Handover documentation</t>
  </si>
  <si>
    <t>Municipality handover procedures manuals checklist</t>
  </si>
  <si>
    <t>Prepare the official municipality handoff procedures manuals. Detail roles credentials, system handover items logs, administration credentials rotation steps, and administrative contact channels guides sheets.</t>
  </si>
  <si>
    <t>Markdown, Handover Packages</t>
  </si>
  <si>
    <t>municipality handoff guide, credential keys rotation, administrator logins audit, handover manuals template</t>
  </si>
  <si>
    <t>docs/09-Handover-Documents/ARCHITECTURE_FREEZE_v1.md</t>
  </si>
  <si>
    <t>Log logins and operational keys handover structures</t>
  </si>
  <si>
    <t>AI-Powered Smart Municipal Kanban Board (Status Flow Tracker)</t>
  </si>
  <si>
    <t>Project Name:</t>
  </si>
  <si>
    <t>Smart Municipal Assistance MVP</t>
  </si>
  <si>
    <t>Enterprise Lead:</t>
  </si>
  <si>
    <t>Adithyan N &amp; PMO Team</t>
  </si>
  <si>
    <t>Target Milestone:</t>
  </si>
  <si>
    <t>1-Week Rapid MVP Release</t>
  </si>
  <si>
    <t>Backlog / Future</t>
  </si>
  <si>
    <t>In Progress</t>
  </si>
  <si>
    <t>Under Review</t>
  </si>
  <si>
    <t/>
  </si>
  <si>
    <t>Gantt Timeline Plan - Sprint 0 Schedule &amp; Tasks</t>
  </si>
  <si>
    <t>Testing Required</t>
  </si>
  <si>
    <t>Security Check Required</t>
  </si>
  <si>
    <t>Gantt Timeline Plan - Day 1 Schedule &amp; Tasks</t>
  </si>
  <si>
    <t>Gantt Timeline Plan - Day 2 Schedule &amp; Tasks</t>
  </si>
  <si>
    <t>Gantt Timeline Plan - Day 3 Schedule &amp; Tasks</t>
  </si>
  <si>
    <t>Gantt Timeline Plan - Day 4 Schedule &amp; Tasks</t>
  </si>
  <si>
    <t>Gantt Timeline Plan - Day 5 Schedule &amp; Tasks</t>
  </si>
  <si>
    <t>Gantt Timeline Plan - Day 6 Schedule &amp; Tasks</t>
  </si>
  <si>
    <t>Gantt Timeline Plan - Day 7 Schedule &amp; Tasks</t>
  </si>
  <si>
    <t>Backend Tasks (Module Lead: Muhammad Sanish) - Note: Team members must update the 'Last Updated' field whenever a task status changes.</t>
  </si>
  <si>
    <t>Last Updated</t>
  </si>
  <si>
    <t>Frontend Tasks (Module Lead: Adithyan N) - Note: Team members must update the 'Last Updated' field whenever a task status changes.</t>
  </si>
  <si>
    <t>Database Tasks (Module Lead: Fathima Hana) - Note: Team members must update the 'Last Updated' field whenever a task status changes.</t>
  </si>
  <si>
    <t>AI Tasks (Module Lead: Muhammed Sadik KT) - Note: Team members must update the 'Last Updated' field whenever a task status changes.</t>
  </si>
  <si>
    <t>Face Recognition Tasks (Module Lead: Fadi Ahmed) - Note: Team members must update the 'Last Updated' field whenever a task status changes.</t>
  </si>
  <si>
    <t>Documentation &amp; QA Tasks (Module Lead: Minha Palakkathodi) - Note: Team members must update the 'Last Updated' field whenever a task status changes.</t>
  </si>
  <si>
    <t>Infrastructure Tasks (Module Lead: Adithyan N + Muhammad Sanish) - Note: Team members must update the 'Last Updated' field whenever a task status changes.</t>
  </si>
  <si>
    <t>Cross-Module Integration Point Registry</t>
  </si>
  <si>
    <t>Integration ID</t>
  </si>
  <si>
    <t>Source Module</t>
  </si>
  <si>
    <t>Destination Module</t>
  </si>
  <si>
    <t>Interface Name</t>
  </si>
  <si>
    <t>Data Flow Description</t>
  </si>
  <si>
    <t>Verification Notes</t>
  </si>
  <si>
    <t>INT-001</t>
  </si>
  <si>
    <t>Authentication Integration</t>
  </si>
  <si>
    <t>React login/register pages payload connection to Express auth endpoints</t>
  </si>
  <si>
    <t>Pending API development</t>
  </si>
  <si>
    <t>INT-002</t>
  </si>
  <si>
    <t>Complaint Submission Portal</t>
  </si>
  <si>
    <t>React complaint intake form uploads to complaints controllers</t>
  </si>
  <si>
    <t>Pending backend controller setup</t>
  </si>
  <si>
    <t>INT-003</t>
  </si>
  <si>
    <t>Attendance punch flow</t>
  </si>
  <si>
    <t>React biometric scanner uploads frames to attendance punches APIs</t>
  </si>
  <si>
    <t>Pending attendance API setup</t>
  </si>
  <si>
    <t>INT-004</t>
  </si>
  <si>
    <t>Chatbot interface connection</t>
  </si>
  <si>
    <t>React chatbot window dialog log stream to Gemini RAG proxy route</t>
  </si>
  <si>
    <t>Pending RAG wrapper setup</t>
  </si>
  <si>
    <t>INT-005</t>
  </si>
  <si>
    <t>Mongoose database adapters</t>
  </si>
  <si>
    <t>Express server schemas models connection to MongoDB Atlas database</t>
  </si>
  <si>
    <t>Pending MongoDB configuration</t>
  </si>
  <si>
    <t>INT-006</t>
  </si>
  <si>
    <t>AI Services</t>
  </si>
  <si>
    <t>Gemini RAG connector API</t>
  </si>
  <si>
    <t>Express chat session controller proxy requests to Gemini model client</t>
  </si>
  <si>
    <t>Pending Gemini client setup</t>
  </si>
  <si>
    <t>INT-007</t>
  </si>
  <si>
    <t>Biometric liveness service</t>
  </si>
  <si>
    <t>Express attendance punch endpoint forwards face coordinates to face recognizer</t>
  </si>
  <si>
    <t>Pending face recognizer core model</t>
  </si>
  <si>
    <t>INT-008</t>
  </si>
  <si>
    <t>File tracking progress lookup</t>
  </si>
  <si>
    <t>React public search timeline reads from tracking API routes</t>
  </si>
  <si>
    <t>Pending tracking API setup</t>
  </si>
  <si>
    <t>INT-009</t>
  </si>
  <si>
    <t>OCR character scanner integration</t>
  </si>
  <si>
    <t>Express upload API sends document PDFs/images to OCR text extractor</t>
  </si>
  <si>
    <t>Pending OCR service setup</t>
  </si>
  <si>
    <t>INT-010</t>
  </si>
  <si>
    <t>Feedback rating locking system</t>
  </si>
  <si>
    <t>React satisfaction stars locks complaints ticket record on backend</t>
  </si>
  <si>
    <t>Pending complaint locking logic</t>
  </si>
  <si>
    <t>Defect Prevention and QA Bug Tracker</t>
  </si>
  <si>
    <t>Bug ID</t>
  </si>
  <si>
    <t>Summary</t>
  </si>
  <si>
    <t>Steps to Reproduce</t>
  </si>
  <si>
    <t>Severity</t>
  </si>
  <si>
    <t>Found By</t>
  </si>
  <si>
    <t>Date Found</t>
  </si>
  <si>
    <t>Date Closed</t>
  </si>
  <si>
    <t>Target Release</t>
  </si>
  <si>
    <t>Resolution Notes</t>
  </si>
  <si>
    <t>Reviewed By</t>
  </si>
  <si>
    <t>Review Date</t>
  </si>
  <si>
    <t>BUG-001</t>
  </si>
  <si>
    <t>Token expiration causes infinite loop in Axios interceptor</t>
  </si>
  <si>
    <t xml:space="preserve">1. Login to client portal.
2. Wait for JWT token to expire.
3. Request fails, interceptor retries indefinitely.</t>
  </si>
  <si>
    <t>Open</t>
  </si>
  <si>
    <t>19-06-2026</t>
  </si>
  <si>
    <t>v1.0.0-MVP</t>
  </si>
  <si>
    <t>Pending triage.</t>
  </si>
  <si>
    <t>BUG-002</t>
  </si>
  <si>
    <t>Bcrypt hash comparisons fail for special characters in passwords</t>
  </si>
  <si>
    <t xml:space="preserve">1. Register user with password containing $ or @.
2. Attempt login.
3. Login fails with password mismatch error.</t>
  </si>
  <si>
    <t>Investigating Bcrypt salt validation.</t>
  </si>
  <si>
    <t>BUG-003</t>
  </si>
  <si>
    <t>Webcam punch feed freezes on Safari desktop browser</t>
  </si>
  <si>
    <t xml:space="preserve">1. Open attendance check-in page in Safari.
2. Webcam initializes but video stream freezes after 2 seconds.</t>
  </si>
  <si>
    <t>Checking canvas drawing context update interval.</t>
  </si>
  <si>
    <t>BUG-004</t>
  </si>
  <si>
    <t>Query failure when fetching complaints with coordinates outside bounds</t>
  </si>
  <si>
    <t xml:space="preserve">1. Submit complaint with latitude/longitude outside municipal borders.
2. Database query fails with geospatial validator error.</t>
  </si>
  <si>
    <t>Configuring boundary check in Mongoose model validator.</t>
  </si>
  <si>
    <t>BUG-005</t>
  </si>
  <si>
    <t>Gemini prompt injections can bypass municipal knowledge base restriction</t>
  </si>
  <si>
    <t xml:space="preserve">1. Open Chatbot interface.
2. Enter prompt telling the model to ignore previous instructions.
3. Model answers general knowledge queries.</t>
  </si>
  <si>
    <t>Refining grounding prompts with strict system bounds.</t>
  </si>
  <si>
    <t>Mandatory MVP Security Validation Gates</t>
  </si>
  <si>
    <t>Control ID</t>
  </si>
  <si>
    <t>Security Control Requirement</t>
  </si>
  <si>
    <t>Verification Method / Evidence</t>
  </si>
  <si>
    <t>Verified By</t>
  </si>
  <si>
    <t>Target Day</t>
  </si>
  <si>
    <t>SEC-001</t>
  </si>
  <si>
    <t>No plaintext secrets committed. Config retrieved from env.</t>
  </si>
  <si>
    <t>Code review of configuration modules &amp; environment logs.</t>
  </si>
  <si>
    <t>SEC-002</t>
  </si>
  <si>
    <t>Bcrypt password hashing configured with workload factor &gt;= 10.</t>
  </si>
  <si>
    <t>Review backend signup logic and test database hashes.</t>
  </si>
  <si>
    <t>SEC-003</t>
  </si>
  <si>
    <t>JWT tokens set with short expiration limits (&lt; 15 mins).</t>
  </si>
  <si>
    <t>Examine JWT payload structures and expiry parameters.</t>
  </si>
  <si>
    <t>SEC-004</t>
  </si>
  <si>
    <t>Frontend Token Handling (Cookie Storage)</t>
  </si>
  <si>
    <t>Check local/session storage cookie attributes and CORS bounds</t>
  </si>
  <si>
    <t>SEC-005</t>
  </si>
  <si>
    <t>Resource ownership filter validated at backend layer.</t>
  </si>
  <si>
    <t>Testing API modifications under multiple authenticated roles.</t>
  </si>
  <si>
    <t>SEC-006</t>
  </si>
  <si>
    <t>Upload restrictions gated to PDF/Image formats and &lt; 5MB.</t>
  </si>
  <si>
    <t>Try uploading arbitrary text/executable files to complain attachments.</t>
  </si>
  <si>
    <t>SEC-007</t>
  </si>
  <si>
    <t>Public trackers suppress private remarks &amp; internal logs.</t>
  </si>
  <si>
    <t>Call tracking endpoint publicly and inspect JSON response.</t>
  </si>
  <si>
    <t>SEC-008</t>
  </si>
  <si>
    <t>Biometric consent checked prior to webcam scan access.</t>
  </si>
  <si>
    <t>Test attendance check-in workflow without setting consent flag.</t>
  </si>
  <si>
    <t>SEC-009</t>
  </si>
  <si>
    <t>Face Data Cleanup (Zero Retention in RAM)</t>
  </si>
  <si>
    <t>Verify volatile memory execution and check disk file systems.</t>
  </si>
  <si>
    <t>Fadi Ahmed + Muhammed Sadik KT</t>
  </si>
  <si>
    <t>SEC-010</t>
  </si>
  <si>
    <t>Gemini prompts locked within municipal context chunks.</t>
  </si>
  <si>
    <t>Attempt prompt injections to query non-municipal system topics.</t>
  </si>
  <si>
    <t>SEC-011</t>
  </si>
  <si>
    <t>Anti-NoSQL injection middleware active on backend.</t>
  </si>
  <si>
    <t>Send query payloads with operator tags ($gt, $ne, etc.) to APIs.</t>
  </si>
  <si>
    <t>SEC-012</t>
  </si>
  <si>
    <t>Immutable S3 backup snapshot locks configured.</t>
  </si>
  <si>
    <t>Review backup lock policy config and attempt deletion command.</t>
  </si>
  <si>
    <t>Daily Scrum Standup Tracker (15 mins Review logs)</t>
  </si>
  <si>
    <t>Date</t>
  </si>
  <si>
    <t>Yesterday (Completed Tasks)</t>
  </si>
  <si>
    <t>Today (Planned Tasks)</t>
  </si>
  <si>
    <t>Blockers / Roadblocks</t>
  </si>
  <si>
    <t>Present (Yes/No)</t>
  </si>
  <si>
    <t>None (Day 0 Initial)</t>
  </si>
  <si>
    <t>Sprint 0 Setup tasks</t>
  </si>
  <si>
    <t>Resource Allocation and Productivity Tracker</t>
  </si>
  <si>
    <t>Critical Path Dependency Registry</t>
  </si>
  <si>
    <t>Dependency ID</t>
  </si>
  <si>
    <t>Pre-Requisite Task</t>
  </si>
  <si>
    <t>Dependent Task</t>
  </si>
  <si>
    <t>Dependency Description</t>
  </si>
  <si>
    <t>Severity Impact</t>
  </si>
  <si>
    <t>DEP-001</t>
  </si>
  <si>
    <t>TASK-DB-001 (User Schema)</t>
  </si>
  <si>
    <t>TASK-BE-004 (Authentication APIs)</t>
  </si>
  <si>
    <t>Auth controllers require user schema models before coding begins</t>
  </si>
  <si>
    <t>DEP-002</t>
  </si>
  <si>
    <t>TASK-BE-005 (JWT implementation)</t>
  </si>
  <si>
    <t>JWT logic is built on top of Auth user credentials matching</t>
  </si>
  <si>
    <t>DEP-003</t>
  </si>
  <si>
    <t>TASK-FE-006 (Protected routes)</t>
  </si>
  <si>
    <t>React protected routes require working backend JWT verification</t>
  </si>
  <si>
    <t>DEP-004</t>
  </si>
  <si>
    <t>TASK-DB-005 (Complaint Schema)</t>
  </si>
  <si>
    <t>TASK-BE-012 (Complaint APIs)</t>
  </si>
  <si>
    <t>Complaints controller depends on Mongoose schemas definitions</t>
  </si>
  <si>
    <t>DEP-005</t>
  </si>
  <si>
    <t>TASK-FE-011 (Complaint Management UI)</t>
  </si>
  <si>
    <t>Intake forms submission UI requires active complaint APIs endpoints</t>
  </si>
  <si>
    <t>DEP-006</t>
  </si>
  <si>
    <t>TASK-AI-006 (Face recognition core)</t>
  </si>
  <si>
    <t>TASK-BE-015 (Attendance APIs)</t>
  </si>
  <si>
    <t>Biometrics attendance punches verify client frames via AI script</t>
  </si>
  <si>
    <t>DEP-007</t>
  </si>
  <si>
    <t>TASK-FE-015 (Attendance UI)</t>
  </si>
  <si>
    <t>Attendance scanner punches require active attendance endpoint</t>
  </si>
  <si>
    <t>DEP-008</t>
  </si>
  <si>
    <t>TASK-AI-003 (Chatbot API)</t>
  </si>
  <si>
    <t>TASK-FE-016 (Chatbot UI)</t>
  </si>
  <si>
    <t>Grounded chatbot React overlay queries chat sessions endpoints</t>
  </si>
  <si>
    <t>MVP Production Launch Readiness Gates</t>
  </si>
  <si>
    <t>Deployment ID</t>
  </si>
  <si>
    <t>Launch Readiness Task</t>
  </si>
  <si>
    <t>Verification Method</t>
  </si>
  <si>
    <t>DEPL-001</t>
  </si>
  <si>
    <t>MongoDB Atlas Multi-AZ cluster config</t>
  </si>
  <si>
    <t>Verify production connection URI and access rules</t>
  </si>
  <si>
    <t>DEPL-002</t>
  </si>
  <si>
    <t>Production environment variables loaded</t>
  </si>
  <si>
    <t>Check config env parameters on hosting targets</t>
  </si>
  <si>
    <t>DEPL-003</t>
  </si>
  <si>
    <t>CORS origins allowlist configured</t>
  </si>
  <si>
    <t>Ensure only frontend URL is allowed in backend middleware</t>
  </si>
  <si>
    <t>DEPL-004</t>
  </si>
  <si>
    <t>HTTPS redirection configuration</t>
  </si>
  <si>
    <t>Confirm HTTP automatically redirects to HTTPS on production</t>
  </si>
  <si>
    <t>DEPL-005</t>
  </si>
  <si>
    <t>Render API Hosting server deploy</t>
  </si>
  <si>
    <t>Deploy backend service to Render backend web service</t>
  </si>
  <si>
    <t>DEPL-006</t>
  </si>
  <si>
    <t>Vercel Frontend client deploy</t>
  </si>
  <si>
    <t>Deploy React app and configure production routing on Vercel</t>
  </si>
  <si>
    <t>DEPL-007</t>
  </si>
  <si>
    <t>Turnstile CAPTCHA keys integration</t>
  </si>
  <si>
    <t>Load live keys to frontend and backend env properties</t>
  </si>
  <si>
    <t>DEPL-008</t>
  </si>
  <si>
    <t>KMS backup encryption setup</t>
  </si>
  <si>
    <t>Verify encryption keys rotation policies on AWS KMS</t>
  </si>
  <si>
    <t>Project Risk Mitigation Register</t>
  </si>
  <si>
    <t>Risk ID</t>
  </si>
  <si>
    <t>Risk Description</t>
  </si>
  <si>
    <t>Mitigation Plan Action</t>
  </si>
  <si>
    <t>Risk Owner</t>
  </si>
  <si>
    <t>Escalation Required? (Yes/No)</t>
  </si>
  <si>
    <t>RSK-001</t>
  </si>
  <si>
    <t>API Development Delay</t>
  </si>
  <si>
    <t>Develop mock API endpoints and response wrappers early in frontend to prevent blockages.</t>
  </si>
  <si>
    <t>RSK-002</t>
  </si>
  <si>
    <t>Cross-Module Integration Failure</t>
  </si>
  <si>
    <t>Enforce interface schema contracts and perform daily standup integration checks.</t>
  </si>
  <si>
    <t>RSK-003</t>
  </si>
  <si>
    <t>Database Schema Finalization Delay</t>
  </si>
  <si>
    <t>Provide early database support from Adithyan N to Fathima Hana to accelerate schemas coding.</t>
  </si>
  <si>
    <t>RSK-004</t>
  </si>
  <si>
    <t>Biometric Face Recognition Accuracy Drop</t>
  </si>
  <si>
    <t>Set up camera calibration parameters dataset and define manual fallback PIN verification.</t>
  </si>
  <si>
    <t>RSK-005</t>
  </si>
  <si>
    <t>Gemini AI Service Downtime</t>
  </si>
  <si>
    <t>Implement local failover checks and display user warning alert indicators.</t>
  </si>
  <si>
    <t>RSK-006</t>
  </si>
  <si>
    <t>Frontend Component Delivery Delay</t>
  </si>
  <si>
    <t>Prioritize basic auth routing layouts and grievance pages before styling visual charts.</t>
  </si>
  <si>
    <t>RSK-007</t>
  </si>
  <si>
    <t>Production Environment Deployment Failure</t>
  </si>
  <si>
    <t>Initialize hosting services environments and deploy simple diagnostic local runs on Day 4.</t>
  </si>
  <si>
    <t>Official Municipality Handover Packages Delivery Checklist</t>
  </si>
  <si>
    <t>Handover ID</t>
  </si>
  <si>
    <t>Handover Package / Deliverable</t>
  </si>
  <si>
    <t>Owner</t>
  </si>
  <si>
    <t>Remarks / Details</t>
  </si>
  <si>
    <t>HND-001</t>
  </si>
  <si>
    <t>Developer Guide and API Readme Manual</t>
  </si>
  <si>
    <t>Official handoff documentation template</t>
  </si>
  <si>
    <t>HND-002</t>
  </si>
  <si>
    <t>GitHub Repository Admin Credentials Transfer</t>
  </si>
  <si>
    <t>Rotating repository administrative keys</t>
  </si>
  <si>
    <t>HND-003</t>
  </si>
  <si>
    <t>MongoDB Atlas Cluster Credentials Transfer</t>
  </si>
  <si>
    <t>Transfer ownership to client account</t>
  </si>
  <si>
    <t>HND-004</t>
  </si>
  <si>
    <t>Render and Vercel Hosting Administration Credentials</t>
  </si>
  <si>
    <t>Provide organization administration logins</t>
  </si>
  <si>
    <t>HND-005</t>
  </si>
  <si>
    <t>Escalation Contacts and SLA Matrix Agreement</t>
  </si>
  <si>
    <t>Document contacts list and response guidelines</t>
  </si>
  <si>
    <t>HND-006</t>
  </si>
  <si>
    <t>Biometric Data Consent Forms Logs</t>
  </si>
  <si>
    <t>Review records against privacy requirements</t>
  </si>
  <si>
    <t>AI-Powered Smart Municipal Project - Daily Scrum Evening Review Log</t>
  </si>
  <si>
    <t>Meeting Conducted By</t>
  </si>
  <si>
    <t>Attendees</t>
  </si>
  <si>
    <t>Completed Tasks</t>
  </si>
  <si>
    <t>Current Blockers</t>
  </si>
  <si>
    <t>Security Issues</t>
  </si>
  <si>
    <t>Integration Issues</t>
  </si>
  <si>
    <t>Risks Identified</t>
  </si>
  <si>
    <t>Decisions Taken</t>
  </si>
  <si>
    <t>Action Items</t>
  </si>
  <si>
    <t>Due Date</t>
  </si>
  <si>
    <t>Minha, Sanish, Hana, Fadi, Sadik</t>
  </si>
  <si>
    <t>TASK-INF-001, TASK-INF-002</t>
  </si>
  <si>
    <t>Integration between React app and Express server auth endpoints under verification</t>
  </si>
  <si>
    <t>API development delay mitigated with mock routes</t>
  </si>
  <si>
    <t>Decided to lock complaints schema today</t>
  </si>
  <si>
    <t>Complete protected routing guards setup</t>
  </si>
  <si>
    <t>20-06-2026</t>
  </si>
  <si>
    <t>AI-Powered Smart Municipal Project - Quality Assurance Testing Tracker</t>
  </si>
  <si>
    <t>Test ID</t>
  </si>
  <si>
    <t>Feature</t>
  </si>
  <si>
    <t>Test Type</t>
  </si>
  <si>
    <t>Assigned Tester</t>
  </si>
  <si>
    <t>Bug Found (Yes/No)</t>
  </si>
  <si>
    <t>TST-001</t>
  </si>
  <si>
    <t>Authentication</t>
  </si>
  <si>
    <t>Integration</t>
  </si>
  <si>
    <t>Verify JWT access token validations</t>
  </si>
  <si>
    <t>TST-002</t>
  </si>
  <si>
    <t>Complaint Module</t>
  </si>
  <si>
    <t>Functional</t>
  </si>
  <si>
    <t>Verify complaint intake form submits successfully</t>
  </si>
  <si>
    <t>TST-003</t>
  </si>
  <si>
    <t>File Tracking</t>
  </si>
  <si>
    <t>API</t>
  </si>
  <si>
    <t>Verify public tracking endpoint outputs tracking steps</t>
  </si>
  <si>
    <t>TST-004</t>
  </si>
  <si>
    <t>Feedback</t>
  </si>
  <si>
    <t>UI</t>
  </si>
  <si>
    <t>Verify feedback form locks complaint upon ratings submission</t>
  </si>
  <si>
    <t>TST-005</t>
  </si>
  <si>
    <t>Attendance</t>
  </si>
  <si>
    <t>Verify webcam face punch liveness match</t>
  </si>
  <si>
    <t>TST-006</t>
  </si>
  <si>
    <t>Chatbot</t>
  </si>
  <si>
    <t>RAG Integration</t>
  </si>
  <si>
    <t>Verify Gemini answers grounded in local context</t>
  </si>
  <si>
    <t>TST-007</t>
  </si>
  <si>
    <t>Accuracy</t>
  </si>
  <si>
    <t>Verify FAR/FRR rates calibration tests</t>
  </si>
  <si>
    <t>TST-008</t>
  </si>
  <si>
    <t>OCR</t>
  </si>
  <si>
    <t>Verify file attachments text parsing and metadata extraction</t>
  </si>
  <si>
    <t>TST-009</t>
  </si>
  <si>
    <t>Dashboard</t>
  </si>
  <si>
    <t>Responsive</t>
  </si>
  <si>
    <t>Verify layouts and menus render cleanly on mobile</t>
  </si>
  <si>
    <t>TST-010</t>
  </si>
  <si>
    <t>Notifications</t>
  </si>
  <si>
    <t>Verify notification dispatch logs on database</t>
  </si>
  <si>
    <t>AI-Powered Smart Municipal Project - Security Review &amp; Validation Tracker</t>
  </si>
  <si>
    <t>Security Item</t>
  </si>
  <si>
    <t>Review Status</t>
  </si>
  <si>
    <t>Risk Level</t>
  </si>
  <si>
    <t>Password Hashing</t>
  </si>
  <si>
    <t>Verify bcrypt salt factor config</t>
  </si>
  <si>
    <t>JWT Security</t>
  </si>
  <si>
    <t>Check JWT signatures and short TTL bounds</t>
  </si>
  <si>
    <t>RBAC</t>
  </si>
  <si>
    <t>Check role permissions middleware validations</t>
  </si>
  <si>
    <t>Rate Limiting</t>
  </si>
  <si>
    <t>Check express-rate-limit settings</t>
  </si>
  <si>
    <t>Input Validation</t>
  </si>
  <si>
    <t>Validate inputs against Mongoose schemas</t>
  </si>
  <si>
    <t>Audit Logging</t>
  </si>
  <si>
    <t>Ensure critical updates are logged</t>
  </si>
  <si>
    <t>Environment Variables</t>
  </si>
  <si>
    <t>Ensure no secrets in source control</t>
  </si>
  <si>
    <t>File Upload Validation</t>
  </si>
  <si>
    <t>Restrict uploads to PDF/PNG and &lt;5MB</t>
  </si>
  <si>
    <t>HTTPS Verification</t>
  </si>
  <si>
    <t>Enforce SSL redirection on production</t>
  </si>
  <si>
    <t>Sensitive Data Protection</t>
  </si>
  <si>
    <t>Redact PII from diagnostic logging</t>
  </si>
  <si>
    <t>Face Data Cleanup</t>
  </si>
  <si>
    <t>Confirm zero frame photo persistence in RAM</t>
  </si>
  <si>
    <t>OCR Validation</t>
  </si>
  <si>
    <t>Verify file parsing sandbox restrictions</t>
  </si>
  <si>
    <t>Prompt Injection Protection</t>
  </si>
  <si>
    <t>Validate chat inputs and ground system prompts</t>
  </si>
  <si>
    <t>Smart Municipal Project - Team Usage &amp; Kanban Board Guide</t>
  </si>
  <si>
    <t>1. How to update task status:</t>
  </si>
  <si>
    <t>Go to the 'Dashboard' sheet, scroll down to the Master Task List, find your task, and double-click the 'Status' cell (Column F). Select from the dropdown: Not Started, In Progress, Review, Completed, or Blocked.</t>
  </si>
  <si>
    <t>2. How to update progress %:</t>
  </si>
  <si>
    <t>On the 'Dashboard' sheet, the 'Progress %' (Column G) updates automatically based on the status: 100% for Completed, 80% for Review, 50% for In Progress, and 0% for Not Started.</t>
  </si>
  <si>
    <t>3. How to report blockers:</t>
  </si>
  <si>
    <t>If a task is blocked, change its Status to 'Blocked'. Go to the 'Risks &amp; Blockers' sheet and add a risk description. Mark 'Escalation Required?' as 'Yes' if it needs urgent PMO discussion.</t>
  </si>
  <si>
    <t>4. How to report bugs:</t>
  </si>
  <si>
    <t>Go to the 'Bug Tracker' sheet, add a new row with Bug ID, summary, severity, and select Status as 'Open'. Assign the bug to the developer (e.g. Adithyan N for Frontend).</t>
  </si>
  <si>
    <t>5. How to update Last Updated field:</t>
  </si>
  <si>
    <t>Go to your specific team task sheet (e.g. 'Frontend Tasks') and type the date in dd-mm-yyyy format in the 'Last Updated' column (Column O) whenever you change a task's status.</t>
  </si>
  <si>
    <t>6. How to use the Kanban Board:</t>
  </si>
  <si>
    <t>The 'Kanban Board' sheet automatically displays tasks under columns matching their status. Use it during daily standups to visualize the team's workload.</t>
  </si>
  <si>
    <t>7. How evening review meetings work:</t>
  </si>
  <si>
    <t>The team holds a mandatory 15-minute evening review meeting. The meeting conductor will log attendees, completed tasks, blockers, and actions in the 'Daily Review Log' sheet.</t>
  </si>
  <si>
    <t>8. How to prioritize Demo Critical tasks:</t>
  </si>
  <si>
    <t>Filter the Master Task List on 'Dashboard' by the 'Demo Critical?' column (Column R) = 'Yes'. These core features (Auth, Complaints, Attendance, Chatbot, etc.) must be completed first.</t>
  </si>
  <si>
    <t>Google Sheets Migration &amp; Compatibility Report</t>
  </si>
  <si>
    <t>1. Migration Summary Metrics</t>
  </si>
  <si>
    <t>Metric Description</t>
  </si>
  <si>
    <t>Value / Status</t>
  </si>
  <si>
    <t>Technical Details</t>
  </si>
  <si>
    <t>Total Sheets Migrated</t>
  </si>
  <si>
    <t>31</t>
  </si>
  <si>
    <t>30 operational sheets + 1 migration report</t>
  </si>
  <si>
    <t>Source File Format</t>
  </si>
  <si>
    <t>Excel OpenXML (.xlsx)</t>
  </si>
  <si>
    <t>Optimized for Google Sheets import engine</t>
  </si>
  <si>
    <t>Target Workspace Format</t>
  </si>
  <si>
    <t>Google Sheets Native</t>
  </si>
  <si>
    <t>Direct import via Google Drive conversion</t>
  </si>
  <si>
    <t>Formula Compatibility</t>
  </si>
  <si>
    <t>100% Compatible</t>
  </si>
  <si>
    <t>All formulas use standard COUNTIF, COUNTIFS, and COUNTA</t>
  </si>
  <si>
    <t>Formulas Modified</t>
  </si>
  <si>
    <t>0</t>
  </si>
  <si>
    <t>None needed; syntax is fully supported by Google Sheets</t>
  </si>
  <si>
    <t>Validation Status</t>
  </si>
  <si>
    <t>Pass</t>
  </si>
  <si>
    <t>All dropdown cells and conditional formatting rules verified</t>
  </si>
  <si>
    <t>Incompatible Features</t>
  </si>
  <si>
    <t>No VBA, macros, or desktop-only controls present</t>
  </si>
  <si>
    <t>2. Preserved Features Ledger</t>
  </si>
  <si>
    <t>Feature Category</t>
  </si>
  <si>
    <t>Preservation Status</t>
  </si>
  <si>
    <t>Technical Verification Method</t>
  </si>
  <si>
    <t>Worksheets (31 total)</t>
  </si>
  <si>
    <t>Preserved</t>
  </si>
  <si>
    <t>Verified sheet count matches exactly</t>
  </si>
  <si>
    <t>96 Project Tasks</t>
  </si>
  <si>
    <t>Verified ID mappings and descriptions alignment</t>
  </si>
  <si>
    <t>Dropdown Data Validation</t>
  </si>
  <si>
    <t>List validations mapped to individual cells</t>
  </si>
  <si>
    <t>Conditional Formatting</t>
  </si>
  <si>
    <t>Import-compatible rules mapping status/priority colors</t>
  </si>
  <si>
    <t>Panes &amp; Split Views</t>
  </si>
  <si>
    <t>Row freezing on Dashboard (14 rows) and timelines (2 rows)</t>
  </si>
  <si>
    <t>Dynamic KPI Formulas</t>
  </si>
  <si>
    <t>Standard COUNTIF, COUNTIFS, and COUNTA reference links</t>
  </si>
  <si>
    <t>Theme Styling</t>
  </si>
  <si>
    <t>Harmonious Steel Blue headers and zebra borders</t>
  </si>
  <si>
    <t>3. Manual Import &amp; Operation Instructions</t>
  </si>
  <si>
    <t>Step</t>
  </si>
  <si>
    <t>Action Required</t>
  </si>
  <si>
    <t>Verification Check</t>
  </si>
  <si>
    <t>1. Upload Workbook</t>
  </si>
  <si>
    <t>Upload "Municipality_Project_Advanced_Kanban_GoogleSheets_Ready.xlsx" to Google Drive.</t>
  </si>
  <si>
    <t>Check upload progress completes</t>
  </si>
  <si>
    <t>2. Convert Format</t>
  </si>
  <si>
    <t>Right-click the file in Google Drive, select "Open with", and choose "Google Sheets".</t>
  </si>
  <si>
    <t>Confirm file extension changes from .xlsx to Google Sheets format</t>
  </si>
  <si>
    <t>3. Verify Dropdowns</t>
  </si>
  <si>
    <t>Open "Dashboard" and double-click any cell in column "Status" (Col F) or "Priority" (Col E).</t>
  </si>
  <si>
    <t>Verify interactive list popup displays correctly</t>
  </si>
  <si>
    <t>4. Verify Formatting</t>
  </si>
  <si>
    <t>Confirm Kanban Board status columns and priority colors are visible and styled.</t>
  </si>
  <si>
    <t>Check background fills for Blocked, Completed, etc.</t>
  </si>
  <si>
    <t>5. Confirm View Freeze</t>
  </si>
  <si>
    <t>Ensure the first 14 rows of the Dashboard and the first 2 rows of task sheets remain frozen.</t>
  </si>
  <si>
    <t>Scroll vertically and verify frozen header row behaves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</si>
</sst>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FF"/>
      <sz val="14"/>
      <name val="Segoe UI"/>
    </font>
    <font>
      <b/>
      <color rgb="FF595959"/>
      <sz val="9"/>
      <name val="Segoe UI"/>
    </font>
    <font>
      <b/>
      <color rgb="FF1F4E78"/>
      <sz val="16"/>
      <name val="Segoe UI"/>
    </font>
    <font>
      <b/>
      <color rgb="FFFFFFFF"/>
      <sz val="10"/>
      <name val="Segoe UI"/>
    </font>
    <font>
      <b/>
      <sz val="9"/>
      <name val="Segoe UI"/>
    </font>
    <font>
      <sz val="10"/>
      <name val="Segoe UI"/>
    </font>
    <font>
      <b/>
      <color rgb="FFFFFFFF"/>
      <sz val="11"/>
      <name val="Segoe UI"/>
    </font>
    <font>
      <b/>
      <name val="Segoe UI"/>
    </font>
    <font>
      <b/>
      <color rgb="FFFFFFFF"/>
      <name val="Segoe UI"/>
    </font>
    <font>
      <sz val="9"/>
      <name val="Segoe UI"/>
    </font>
    <font>
      <b/>
      <color rgb="FFFFFFFF"/>
      <sz val="12"/>
      <name val="Segoe UI"/>
    </font>
    <font>
      <b/>
      <color rgb="FF1F4E78"/>
      <sz val="11"/>
      <name val="Segoe UI"/>
    </font>
  </fonts>
  <fills count="11">
    <fill>
      <patternFill patternType="none"/>
    </fill>
    <fill>
      <patternFill patternType="gray125"/>
    </fill>
    <fill>
      <patternFill patternType="solid">
        <fgColor rgb="FF2C5E8A"/>
      </patternFill>
    </fill>
    <fill>
      <patternFill patternType="solid">
        <fgColor rgb="FFF2F2F2"/>
      </patternFill>
    </fill>
    <fill>
      <patternFill patternType="solid">
        <fgColor rgb="FFEBF2F7"/>
      </patternFill>
    </fill>
    <fill>
      <patternFill patternType="solid">
        <fgColor rgb="FF1F4E78"/>
      </patternFill>
    </fill>
    <fill>
      <patternFill patternType="solid">
        <fgColor rgb="FFF9FBFD"/>
      </patternFill>
    </fill>
    <fill>
      <patternFill patternType="solid">
        <fgColor rgb="FF7F7F7F"/>
      </patternFill>
    </fill>
    <fill>
      <patternFill patternType="solid">
        <fgColor rgb="FF595959"/>
      </patternFill>
    </fill>
    <fill>
      <patternFill patternType="solid">
        <fgColor rgb="FFC65911"/>
      </patternFill>
    </fill>
    <fill>
      <patternFill patternType="solid">
        <fgColor rgb="FF375623"/>
      </patternFill>
    </fill>
  </fills>
  <borders count="16">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medium">
        <color rgb="FF1F4E78"/>
      </bottom>
      <diagonal/>
    </border>
    <border>
      <left style="thin">
        <color rgb="FFD3D3D3"/>
      </left>
      <right style="thin">
        <color rgb="FFD3D3D3"/>
      </right>
      <top style="thin">
        <color rgb="FFD3D3D3"/>
      </top>
      <bottom style="medium">
        <color rgb="FF2C5E8A"/>
      </bottom>
      <diagonal/>
    </border>
    <border>
      <left/>
      <right/>
      <top/>
      <bottom style="thin">
        <color rgb="FFD3D3D3"/>
      </bottom>
      <diagonal/>
    </border>
    <border>
      <left style="thin">
        <color rgb="FF7F7F7F"/>
      </left>
      <right style="thin">
        <color rgb="FFD3D3D3"/>
      </right>
      <top style="thin">
        <color rgb="FFD3D3D3"/>
      </top>
      <bottom style="thin">
        <color rgb="FFD3D3D3"/>
      </bottom>
      <diagonal/>
    </border>
    <border>
      <left style="thin">
        <color rgb="FFD3D3D3"/>
      </left>
      <right style="thin">
        <color rgb="FF7F7F7F"/>
      </right>
      <top style="thin">
        <color rgb="FFD3D3D3"/>
      </top>
      <bottom style="thin">
        <color rgb="FFD3D3D3"/>
      </bottom>
      <diagonal/>
    </border>
    <border>
      <left style="thin">
        <color rgb="FF595959"/>
      </left>
      <right style="thin">
        <color rgb="FFD3D3D3"/>
      </right>
      <top style="thin">
        <color rgb="FFD3D3D3"/>
      </top>
      <bottom style="thin">
        <color rgb="FFD3D3D3"/>
      </bottom>
      <diagonal/>
    </border>
    <border>
      <left style="thin">
        <color rgb="FFD3D3D3"/>
      </left>
      <right style="thin">
        <color rgb="FF595959"/>
      </right>
      <top style="thin">
        <color rgb="FFD3D3D3"/>
      </top>
      <bottom style="thin">
        <color rgb="FFD3D3D3"/>
      </bottom>
      <diagonal/>
    </border>
    <border>
      <left style="thin">
        <color rgb="FF1F4E78"/>
      </left>
      <right style="thin">
        <color rgb="FFD3D3D3"/>
      </right>
      <top style="thin">
        <color rgb="FFD3D3D3"/>
      </top>
      <bottom style="thin">
        <color rgb="FFD3D3D3"/>
      </bottom>
      <diagonal/>
    </border>
    <border>
      <left style="thin">
        <color rgb="FFD3D3D3"/>
      </left>
      <right style="thin">
        <color rgb="FF1F4E78"/>
      </right>
      <top style="thin">
        <color rgb="FFD3D3D3"/>
      </top>
      <bottom style="thin">
        <color rgb="FFD3D3D3"/>
      </bottom>
      <diagonal/>
    </border>
    <border>
      <left style="thin">
        <color rgb="FFC65911"/>
      </left>
      <right style="thin">
        <color rgb="FFD3D3D3"/>
      </right>
      <top style="thin">
        <color rgb="FFD3D3D3"/>
      </top>
      <bottom style="thin">
        <color rgb="FFD3D3D3"/>
      </bottom>
      <diagonal/>
    </border>
    <border>
      <left style="thin">
        <color rgb="FFD3D3D3"/>
      </left>
      <right style="thin">
        <color rgb="FFC65911"/>
      </right>
      <top style="thin">
        <color rgb="FFD3D3D3"/>
      </top>
      <bottom style="thin">
        <color rgb="FFD3D3D3"/>
      </bottom>
      <diagonal/>
    </border>
    <border>
      <left style="thin">
        <color rgb="FF375623"/>
      </left>
      <right style="thin">
        <color rgb="FFD3D3D3"/>
      </right>
      <top style="thin">
        <color rgb="FFD3D3D3"/>
      </top>
      <bottom style="thin">
        <color rgb="FFD3D3D3"/>
      </bottom>
      <diagonal/>
    </border>
    <border>
      <left style="thin">
        <color rgb="FFD3D3D3"/>
      </left>
      <right style="thin">
        <color rgb="FF375623"/>
      </right>
      <top style="thin">
        <color rgb="FFD3D3D3"/>
      </top>
      <bottom style="thin">
        <color rgb="FFD3D3D3"/>
      </bottom>
      <diagonal/>
    </border>
    <border>
      <left/>
      <right/>
      <top style="thin">
        <color rgb="FFD3D3D3"/>
      </top>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4" fillId="5" borderId="0" xfId="0" applyFont="1" applyFill="1" applyAlignment="1">
      <alignment horizontal="center"/>
    </xf>
    <xf numFmtId="0" fontId="5" fillId="4" borderId="0" xfId="0" applyFont="1" applyFill="1" applyAlignment="1">
      <alignment horizontal="center"/>
    </xf>
    <xf numFmtId="0" fontId="6" fillId="0" borderId="1" xfId="0" applyFont="1" applyBorder="1" applyAlignment="1">
      <alignment vertical="center" wrapText="1"/>
    </xf>
    <xf numFmtId="0" fontId="6" fillId="0" borderId="1" xfId="0" applyFont="1" applyBorder="1" applyAlignment="1">
      <alignment horizontal="center"/>
    </xf>
    <xf numFmtId="0" fontId="6" fillId="0" borderId="1" xfId="0" applyFont="1" applyBorder="1" applyAlignment="1">
      <alignment horizontal="right"/>
    </xf>
    <xf numFmtId="0" fontId="6" fillId="6" borderId="1" xfId="0" applyFont="1" applyFill="1" applyBorder="1" applyAlignment="1">
      <alignment vertical="center" wrapText="1"/>
    </xf>
    <xf numFmtId="0" fontId="6" fillId="6" borderId="1" xfId="0" applyFont="1" applyFill="1" applyBorder="1" applyAlignment="1">
      <alignment horizontal="center"/>
    </xf>
    <xf numFmtId="0" fontId="6" fillId="6" borderId="1" xfId="0" applyFont="1" applyFill="1" applyBorder="1" applyAlignment="1">
      <alignment horizontal="right"/>
    </xf>
    <xf numFmtId="0" fontId="7" fillId="2" borderId="2"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right" vertical="center"/>
    </xf>
    <xf numFmtId="0" fontId="6" fillId="6" borderId="1" xfId="0" applyFont="1" applyFill="1" applyBorder="1" applyAlignment="1">
      <alignment horizontal="center" vertical="center"/>
    </xf>
    <xf numFmtId="0" fontId="6" fillId="6" borderId="1" xfId="0" applyFont="1" applyFill="1" applyBorder="1" applyAlignment="1">
      <alignment horizontal="right" vertical="center"/>
    </xf>
    <xf numFmtId="0" fontId="8" fillId="0" borderId="0" xfId="0" applyFont="1"/>
    <xf numFmtId="0" fontId="0" fillId="4" borderId="3" xfId="0" applyFill="1" applyBorder="1" applyAlignment="1">
      <alignment horizontal="center" vertical="center"/>
    </xf>
    <xf numFmtId="0" fontId="9" fillId="7" borderId="0" xfId="0" applyFont="1" applyFill="1" applyAlignment="1">
      <alignment horizontal="center" vertical="center"/>
    </xf>
    <xf numFmtId="0" fontId="9" fillId="8" borderId="0" xfId="0" applyFont="1" applyFill="1" applyAlignment="1">
      <alignment horizontal="center" vertical="center"/>
    </xf>
    <xf numFmtId="0" fontId="9" fillId="5" borderId="0" xfId="0" applyFont="1" applyFill="1" applyAlignment="1">
      <alignment horizontal="center" vertical="center"/>
    </xf>
    <xf numFmtId="0" fontId="9" fillId="9" borderId="0" xfId="0" applyFont="1" applyFill="1" applyAlignment="1">
      <alignment horizontal="center" vertical="center"/>
    </xf>
    <xf numFmtId="0" fontId="9" fillId="10" borderId="0" xfId="0" applyFont="1" applyFill="1" applyAlignment="1">
      <alignment horizontal="center" vertical="center"/>
    </xf>
    <xf numFmtId="0" fontId="5" fillId="3" borderId="4" xfId="0" applyFont="1" applyFill="1" applyBorder="1" applyAlignment="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left" vertical="center"/>
    </xf>
    <xf numFmtId="0" fontId="10" fillId="0" borderId="6" xfId="0" applyFont="1" applyBorder="1" applyAlignment="1">
      <alignment horizontal="left" vertical="center"/>
    </xf>
    <xf numFmtId="0" fontId="10" fillId="0" borderId="7" xfId="0" applyFont="1" applyBorder="1" applyAlignment="1">
      <alignment horizontal="center" vertical="center"/>
    </xf>
    <xf numFmtId="0" fontId="10" fillId="0" borderId="8" xfId="0" applyFont="1" applyBorder="1" applyAlignment="1">
      <alignment horizontal="left" vertical="center"/>
    </xf>
    <xf numFmtId="0" fontId="10" fillId="0" borderId="9" xfId="0" applyFont="1" applyBorder="1" applyAlignment="1">
      <alignment horizontal="center" vertical="center"/>
    </xf>
    <xf numFmtId="0" fontId="10" fillId="0" borderId="10" xfId="0" applyFont="1" applyBorder="1" applyAlignment="1">
      <alignment horizontal="left" vertical="center"/>
    </xf>
    <xf numFmtId="0" fontId="10" fillId="0" borderId="11" xfId="0" applyFont="1" applyBorder="1" applyAlignment="1">
      <alignment horizontal="center" vertical="center"/>
    </xf>
    <xf numFmtId="0" fontId="10" fillId="0" borderId="12" xfId="0" applyFont="1" applyBorder="1" applyAlignment="1">
      <alignment horizontal="left" vertical="center"/>
    </xf>
    <xf numFmtId="0" fontId="10" fillId="0" borderId="13" xfId="0" applyFont="1" applyBorder="1" applyAlignment="1">
      <alignment horizontal="center" vertical="center"/>
    </xf>
    <xf numFmtId="0" fontId="10" fillId="0" borderId="14" xfId="0" applyFont="1" applyBorder="1" applyAlignment="1">
      <alignment horizontal="left" vertical="center"/>
    </xf>
    <xf numFmtId="0" fontId="11" fillId="2" borderId="0" xfId="0" applyFont="1" applyFill="1" applyAlignment="1">
      <alignment horizontal="left" vertical="center"/>
    </xf>
    <xf numFmtId="0" fontId="7" fillId="2" borderId="0" xfId="0" applyFont="1" applyFill="1"/>
    <xf numFmtId="14" fontId="6" fillId="0" borderId="1" xfId="0" applyNumberFormat="1" applyFont="1" applyBorder="1" applyAlignment="1">
      <alignment horizontal="center" vertical="center"/>
    </xf>
    <xf numFmtId="14" fontId="6" fillId="6" borderId="1" xfId="0" applyNumberFormat="1" applyFont="1" applyFill="1" applyBorder="1" applyAlignment="1">
      <alignment horizontal="center" vertical="center"/>
    </xf>
    <xf numFmtId="0" fontId="11" fillId="2" borderId="0" xfId="0" applyFont="1" applyFill="1"/>
    <xf numFmtId="0" fontId="12" fillId="0" borderId="15" xfId="0" applyFont="1" applyBorder="1" applyAlignment="1">
      <alignment vertical="center"/>
    </xf>
    <xf numFmtId="0" fontId="0" fillId="0" borderId="15" xfId="0" applyBorder="1"/>
    <xf numFmtId="0" fontId="6" fillId="0" borderId="4" xfId="0" applyFont="1" applyBorder="1" applyAlignment="1">
      <alignment vertical="top" wrapText="1"/>
    </xf>
    <xf numFmtId="0" fontId="7" fillId="5" borderId="0" xfId="0" applyFont="1" applyFill="1"/>
  </cellXfs>
  <cellStyles count="1">
    <cellStyle name="Normal" xfId="0" builtinId="0"/>
  </cellStyles>
  <dxfs count="200">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375623"/>
      </font>
      <fill>
        <patternFill patternType="solid">
          <fgColor rgb="FFE2EFDA"/>
        </patternFill>
      </fill>
    </dxf>
    <dxf>
      <font>
        <b/>
        <color rgb="FF1F4E78"/>
      </font>
      <fill>
        <patternFill patternType="solid">
          <fgColor rgb="FFDDEBF7"/>
        </patternFill>
      </fill>
    </dxf>
    <dxf>
      <font>
        <b/>
        <color rgb="FFC65911"/>
      </font>
      <fill>
        <patternFill patternType="solid">
          <fgColor rgb="FFFCE4D6"/>
        </patternFill>
      </fill>
    </dxf>
    <dxf>
      <font>
        <b/>
        <color rgb="FFC00000"/>
      </font>
      <fill>
        <patternFill patternType="solid">
          <fgColor rgb="FFF8CBAD"/>
        </patternFill>
      </fill>
    </dxf>
    <dxf>
      <font>
        <color rgb="FF595959"/>
      </font>
      <fill>
        <patternFill patternType="solid">
          <fgColor rgb="FFF2F2F2"/>
        </patternFill>
      </fill>
    </dxf>
    <dxf>
      <font>
        <b/>
        <color rgb="FFFFFFFF"/>
      </font>
      <fill>
        <patternFill patternType="solid">
          <fgColor rgb="FFC00000"/>
        </patternFill>
      </fill>
    </dxf>
    <dxf>
      <font>
        <b/>
        <color rgb="FFC00000"/>
      </font>
      <fill>
        <patternFill patternType="solid">
          <fgColor rgb="FFF8CBAD"/>
        </patternFill>
      </fill>
    </dxf>
    <dxf>
      <font>
        <b/>
        <color rgb="FFC65911"/>
      </font>
      <fill>
        <patternFill patternType="solid">
          <fgColor rgb="FFFCE4D6"/>
        </patternFill>
      </fill>
    </dxf>
    <dxf>
      <font>
        <b/>
        <color rgb="FF375623"/>
      </font>
      <fill>
        <patternFill patternType="solid">
          <f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1"/>
  <sheetViews>
    <sheetView workbookViewId="0">
      <pane ySplit="14" topLeftCell="A15" activePane="bottomLeft" state="frozen"/>
      <selection pane="bottomLeft"/>
    </sheetView>
  </sheetViews>
  <sheetFormatPr defaultRowHeight="15" outlineLevelRow="0" outlineLevelCol="0" x14ac:dyDescent="55"/>
  <cols>
    <col min="1" max="10" width="40" customWidth="1"/>
    <col min="11" max="11" width="60" customWidth="1"/>
    <col min="12" max="12" width="25" customWidth="1"/>
    <col min="13" max="13" width="30" customWidth="1"/>
    <col min="14" max="14" width="45" customWidth="1"/>
    <col min="15" max="20" width="40" customWidth="1"/>
  </cols>
  <sheetData>
    <row r="1" ht="36" customHeight="1" spans="1:20" x14ac:dyDescent="0.25">
      <c r="A1" s="1" t="s">
        <v>0</v>
      </c>
      <c r="B1" s="1"/>
      <c r="C1" s="1"/>
      <c r="D1" s="1"/>
      <c r="E1" s="1"/>
      <c r="F1" s="1"/>
      <c r="G1" s="1"/>
      <c r="H1" s="1"/>
      <c r="I1" s="1"/>
      <c r="J1" s="1"/>
      <c r="K1" s="1"/>
      <c r="L1" s="1"/>
      <c r="M1" s="1"/>
      <c r="N1" s="1"/>
      <c r="O1" s="1"/>
      <c r="P1" s="1"/>
      <c r="Q1" s="1"/>
      <c r="R1" s="1"/>
      <c r="S1" s="1"/>
      <c r="T1" s="1"/>
    </row>
    <row r="2" ht="16" customHeight="1" spans="1:20" x14ac:dyDescent="0.25">
      <c r="A2" s="2" t="s">
        <v>1</v>
      </c>
      <c r="B2" s="2"/>
      <c r="C2" s="2" t="s">
        <v>2</v>
      </c>
      <c r="D2" s="2"/>
      <c r="E2" s="2" t="s">
        <v>3</v>
      </c>
      <c r="F2" s="2"/>
      <c r="G2" s="2" t="s">
        <v>4</v>
      </c>
      <c r="H2" s="2"/>
      <c r="I2" s="2" t="s">
        <v>5</v>
      </c>
      <c r="J2" s="2"/>
      <c r="K2" s="2" t="s">
        <v>6</v>
      </c>
      <c r="L2" s="2"/>
      <c r="M2" s="2" t="s">
        <v>7</v>
      </c>
      <c r="N2" s="2"/>
      <c r="O2" s="2" t="s">
        <v>8</v>
      </c>
      <c r="P2" s="2"/>
      <c r="Q2" s="2" t="s">
        <v>9</v>
      </c>
      <c r="R2" s="2"/>
      <c r="S2" s="2" t="s">
        <v>10</v>
      </c>
      <c r="T2" s="2"/>
    </row>
    <row r="3" ht="18" customHeight="1" spans="1:20" x14ac:dyDescent="0.25">
      <c r="A3" s="3">
        <f>=COUNTIF(F16:F111, "Completed")/COUNTA(A16:A111)</f>
        <v>0</v>
      </c>
      <c r="B3" s="3"/>
      <c r="C3" s="3">
        <f>=COUNTIF(F16:F111, "Blocked")</f>
        <v>0</v>
      </c>
      <c r="D3" s="3"/>
      <c r="E3" s="3">
        <f>=COUNTIFS(E16:E111, "Critical", F16:F111, "&lt;&gt;Completed")</f>
        <v>7</v>
      </c>
      <c r="F3" s="3"/>
      <c r="G3" s="3">
        <f>=COUNTIFS('Bug Tracker'!G3:G30, "&lt;&gt;Completed", 'Bug Tracker'!G3:G30, "&lt;&gt;")</f>
        <v>5</v>
      </c>
      <c r="H3" s="3"/>
      <c r="I3" s="3">
        <f>=COUNTIF('Security Checklist'!D3:D14, "Completed")/COUNTA('Security Checklist'!D3:D14)</f>
        <v>0</v>
      </c>
      <c r="J3" s="3"/>
      <c r="K3" s="3">
        <f>=COUNTIF('Deployment Checklist'!D3:D10, "Completed")/COUNTA('Deployment Checklist'!D3:D10)</f>
        <v>0</v>
      </c>
      <c r="L3" s="3"/>
      <c r="M3" s="3">
        <f>=COUNTIFS(F16:F111, "&lt;&gt;Completed", R16:R111, "Yes")</f>
        <v>25</v>
      </c>
      <c r="N3" s="3"/>
      <c r="O3" s="3">
        <f>=COUNTIFS('Security Review Tracker'!C3:C15, "&lt;&gt;Passed", 'Security Review Tracker'!C3:C15, "&lt;&gt;")</f>
        <v>13</v>
      </c>
      <c r="P3" s="3"/>
      <c r="Q3" s="3">
        <f>=COUNTIF('Testing Tracker'!F3:F12, "Passed")/COUNTA('Testing Tracker'!A3:A12)</f>
        <v>0</v>
      </c>
      <c r="R3" s="3"/>
      <c r="S3" s="3">
        <f>=COUNTIF('Integration Tracker'!F3:F12, "Completed")/COUNTA('Integration Tracker'!A3:A12)</f>
        <v>0</v>
      </c>
      <c r="T3" s="3"/>
    </row>
    <row r="4" ht="18" customHeight="1" spans="1:20" x14ac:dyDescent="0.25">
      <c r="A4" s="3"/>
      <c r="B4" s="3"/>
      <c r="C4" s="3"/>
      <c r="D4" s="3"/>
      <c r="E4" s="3"/>
      <c r="F4" s="3"/>
      <c r="G4" s="3"/>
      <c r="H4" s="3"/>
      <c r="I4" s="3"/>
      <c r="J4" s="3"/>
      <c r="K4" s="3"/>
      <c r="L4" s="3"/>
      <c r="M4" s="3"/>
      <c r="N4" s="3"/>
      <c r="O4" s="3"/>
      <c r="P4" s="3"/>
      <c r="Q4" s="3"/>
      <c r="R4" s="3"/>
      <c r="S4" s="3"/>
      <c r="T4" s="3"/>
    </row>
    <row r="5" spans="1:20" x14ac:dyDescent="0.25"/>
    <row r="6" ht="20" customHeight="1" spans="1:20" x14ac:dyDescent="0.25">
      <c r="A6" s="4" t="s">
        <v>11</v>
      </c>
      <c r="B6" s="4"/>
      <c r="C6" s="4"/>
      <c r="D6" s="4"/>
      <c r="E6" s="4"/>
      <c r="F6" s="4"/>
      <c r="H6" s="4" t="s">
        <v>12</v>
      </c>
      <c r="I6" s="4"/>
      <c r="J6" s="4"/>
      <c r="K6" s="4"/>
      <c r="L6" s="4"/>
      <c r="M6" s="4"/>
      <c r="O6" s="4" t="s">
        <v>13</v>
      </c>
      <c r="P6" s="4"/>
      <c r="Q6" s="4"/>
      <c r="R6" s="4"/>
    </row>
    <row r="7" ht="18" customHeight="1" spans="1:20" x14ac:dyDescent="0.25">
      <c r="A7" s="5" t="s">
        <v>14</v>
      </c>
      <c r="B7" s="5" t="s">
        <v>15</v>
      </c>
      <c r="C7" s="5" t="s">
        <v>16</v>
      </c>
      <c r="D7" s="5" t="s">
        <v>17</v>
      </c>
      <c r="E7" s="5" t="s">
        <v>18</v>
      </c>
      <c r="F7" s="5" t="s">
        <v>19</v>
      </c>
      <c r="H7" s="5" t="s">
        <v>20</v>
      </c>
      <c r="I7" s="5" t="s">
        <v>21</v>
      </c>
      <c r="J7" s="5" t="s">
        <v>16</v>
      </c>
      <c r="K7" s="5" t="s">
        <v>17</v>
      </c>
      <c r="L7" s="5" t="s">
        <v>18</v>
      </c>
      <c r="M7" s="5" t="s">
        <v>19</v>
      </c>
      <c r="O7" s="5" t="s">
        <v>22</v>
      </c>
      <c r="P7" s="5" t="s">
        <v>21</v>
      </c>
      <c r="Q7" s="5" t="s">
        <v>16</v>
      </c>
      <c r="R7" s="5" t="s">
        <v>19</v>
      </c>
    </row>
    <row r="8" spans="1:20" x14ac:dyDescent="0.25">
      <c r="A8" s="6" t="s">
        <v>23</v>
      </c>
      <c r="B8" s="7">
        <f>=COUNTIF($D$16:$D$111, A8)</f>
        <v>9</v>
      </c>
      <c r="C8" s="7">
        <f>=COUNTIFS($D$16:$D$111, A8, $F$16:$F$111, "Completed")</f>
        <v>0</v>
      </c>
      <c r="D8" s="7">
        <f>=B8-C8-E8</f>
        <v>9</v>
      </c>
      <c r="E8" s="7">
        <f>=COUNTIFS($D$16:$D$111, A8, $F$16:$F$111, "Blocked")</f>
        <v>0</v>
      </c>
      <c r="F8" s="8">
        <f>=IF(B8&gt;0, C8/B8, 0)</f>
        <v>0</v>
      </c>
      <c r="H8" s="6" t="s">
        <v>24</v>
      </c>
      <c r="I8" s="7">
        <f>=COUNTIF($B$16:$B$111, H8)</f>
        <v>20</v>
      </c>
      <c r="J8" s="7">
        <f>=COUNTIFS($B$16:$B$111, H8, $F$16:$F$111, "Completed")</f>
        <v>0</v>
      </c>
      <c r="K8" s="7">
        <f>=I8-J8-L8</f>
        <v>20</v>
      </c>
      <c r="L8" s="7">
        <f>=COUNTIFS($B$16:$B$111, H8, $F$16:$F$111, "Blocked")</f>
        <v>0</v>
      </c>
      <c r="M8" s="8">
        <f>=IF(I8&gt;0, J8/I8, 0)</f>
        <v>0</v>
      </c>
      <c r="O8" s="6" t="s">
        <v>25</v>
      </c>
      <c r="P8" s="7">
        <f>=COUNTIF($H$16:$H$111, O8)</f>
        <v>7</v>
      </c>
      <c r="Q8" s="7">
        <f>=COUNTIFS($H$16:$H$111, O8, $F$16:$F$111, "Completed")</f>
        <v>0</v>
      </c>
      <c r="R8" s="8">
        <f>=IF(P8&gt;0, Q8/P8, 0)</f>
        <v>0</v>
      </c>
    </row>
    <row r="9" spans="1:20" x14ac:dyDescent="0.25">
      <c r="A9" s="9" t="s">
        <v>26</v>
      </c>
      <c r="B9" s="10">
        <f>=COUNTIF($D$16:$D$111, A9)</f>
        <v>30</v>
      </c>
      <c r="C9" s="10">
        <f>=COUNTIFS($D$16:$D$111, A9, $F$16:$F$111, "Completed")</f>
        <v>0</v>
      </c>
      <c r="D9" s="10">
        <f>=B9-C9-E9</f>
        <v>30</v>
      </c>
      <c r="E9" s="10">
        <f>=COUNTIFS($D$16:$D$111, A9, $F$16:$F$111, "Blocked")</f>
        <v>0</v>
      </c>
      <c r="F9" s="11">
        <f>=IF(B9&gt;0, C9/B9, 0)</f>
        <v>0</v>
      </c>
      <c r="H9" s="9" t="s">
        <v>27</v>
      </c>
      <c r="I9" s="10">
        <f>=COUNTIF($B$16:$B$111, H9)</f>
        <v>24</v>
      </c>
      <c r="J9" s="10">
        <f>=COUNTIFS($B$16:$B$111, H9, $F$16:$F$111, "Completed")</f>
        <v>0</v>
      </c>
      <c r="K9" s="10">
        <f>=I9-J9-L9</f>
        <v>24</v>
      </c>
      <c r="L9" s="10">
        <f>=COUNTIFS($B$16:$B$111, H9, $F$16:$F$111, "Blocked")</f>
        <v>0</v>
      </c>
      <c r="M9" s="11">
        <f>=IF(I9&gt;0, J9/I9, 0)</f>
        <v>0</v>
      </c>
      <c r="O9" s="9" t="s">
        <v>28</v>
      </c>
      <c r="P9" s="10">
        <f>=COUNTIF($H$16:$H$111, O9)</f>
        <v>28</v>
      </c>
      <c r="Q9" s="10">
        <f>=COUNTIFS($H$16:$H$111, O9, $F$16:$F$111, "Completed")</f>
        <v>0</v>
      </c>
      <c r="R9" s="11">
        <f>=IF(P9&gt;0, Q9/P9, 0)</f>
        <v>0</v>
      </c>
    </row>
    <row r="10" spans="1:20" x14ac:dyDescent="0.25">
      <c r="A10" s="6" t="s">
        <v>29</v>
      </c>
      <c r="B10" s="7">
        <f>=COUNTIF($D$16:$D$111, A10)</f>
        <v>16</v>
      </c>
      <c r="C10" s="7">
        <f>=COUNTIFS($D$16:$D$111, A10, $F$16:$F$111, "Completed")</f>
        <v>0</v>
      </c>
      <c r="D10" s="7">
        <f>=B10-C10-E10</f>
        <v>16</v>
      </c>
      <c r="E10" s="7">
        <f>=COUNTIFS($D$16:$D$111, A10, $F$16:$F$111, "Blocked")</f>
        <v>0</v>
      </c>
      <c r="F10" s="8">
        <f>=IF(B10&gt;0, C10/B10, 0)</f>
        <v>0</v>
      </c>
      <c r="H10" s="6" t="s">
        <v>30</v>
      </c>
      <c r="I10" s="7">
        <f>=COUNTIF($B$16:$B$111, H10)</f>
        <v>16</v>
      </c>
      <c r="J10" s="7">
        <f>=COUNTIFS($B$16:$B$111, H10, $F$16:$F$111, "Completed")</f>
        <v>0</v>
      </c>
      <c r="K10" s="7">
        <f>=I10-J10-L10</f>
        <v>16</v>
      </c>
      <c r="L10" s="7">
        <f>=COUNTIFS($B$16:$B$111, H10, $F$16:$F$111, "Blocked")</f>
        <v>0</v>
      </c>
      <c r="M10" s="8">
        <f>=IF(I10&gt;0, J10/I10, 0)</f>
        <v>0</v>
      </c>
      <c r="O10" s="6" t="s">
        <v>31</v>
      </c>
      <c r="P10" s="7">
        <f>=COUNTIF($H$16:$H$111, O10)</f>
        <v>11</v>
      </c>
      <c r="Q10" s="7">
        <f>=COUNTIFS($H$16:$H$111, O10, $F$16:$F$111, "Completed")</f>
        <v>0</v>
      </c>
      <c r="R10" s="8">
        <f>=IF(P10&gt;0, Q10/P10, 0)</f>
        <v>0</v>
      </c>
    </row>
    <row r="11" spans="1:20" x14ac:dyDescent="0.25">
      <c r="A11" s="9" t="s">
        <v>32</v>
      </c>
      <c r="B11" s="10">
        <f>=COUNTIF($D$16:$D$111, A11)</f>
        <v>23</v>
      </c>
      <c r="C11" s="10">
        <f>=COUNTIFS($D$16:$D$111, A11, $F$16:$F$111, "Completed")</f>
        <v>0</v>
      </c>
      <c r="D11" s="10">
        <f>=B11-C11-E11</f>
        <v>23</v>
      </c>
      <c r="E11" s="10">
        <f>=COUNTIFS($D$16:$D$111, A11, $F$16:$F$111, "Blocked")</f>
        <v>0</v>
      </c>
      <c r="F11" s="11">
        <f>=IF(B11&gt;0, C11/B11, 0)</f>
        <v>0</v>
      </c>
      <c r="H11" s="9" t="s">
        <v>33</v>
      </c>
      <c r="I11" s="10">
        <f>=COUNTIF($B$16:$B$111, H11)</f>
        <v>9</v>
      </c>
      <c r="J11" s="10">
        <f>=COUNTIFS($B$16:$B$111, H11, $F$16:$F$111, "Completed")</f>
        <v>0</v>
      </c>
      <c r="K11" s="10">
        <f>=I11-J11-L11</f>
        <v>9</v>
      </c>
      <c r="L11" s="10">
        <f>=COUNTIFS($B$16:$B$111, H11, $F$16:$F$111, "Blocked")</f>
        <v>0</v>
      </c>
      <c r="M11" s="11">
        <f>=IF(I11&gt;0, J11/I11, 0)</f>
        <v>0</v>
      </c>
      <c r="O11" s="9" t="s">
        <v>34</v>
      </c>
      <c r="P11" s="10">
        <f>=COUNTIF($H$16:$H$111, O11)</f>
        <v>6</v>
      </c>
      <c r="Q11" s="10">
        <f>=COUNTIFS($H$16:$H$111, O11, $F$16:$F$111, "Completed")</f>
        <v>0</v>
      </c>
      <c r="R11" s="11">
        <f>=IF(P11&gt;0, Q11/P11, 0)</f>
        <v>0</v>
      </c>
    </row>
    <row r="12" spans="1:20" x14ac:dyDescent="0.25">
      <c r="A12" s="6" t="s">
        <v>35</v>
      </c>
      <c r="B12" s="7">
        <f>=COUNTIF($D$16:$D$111, A12)</f>
        <v>9</v>
      </c>
      <c r="C12" s="7">
        <f>=COUNTIFS($D$16:$D$111, A12, $F$16:$F$111, "Completed")</f>
        <v>0</v>
      </c>
      <c r="D12" s="7">
        <f>=B12-C12-E12</f>
        <v>9</v>
      </c>
      <c r="E12" s="7">
        <f>=COUNTIFS($D$16:$D$111, A12, $F$16:$F$111, "Blocked")</f>
        <v>0</v>
      </c>
      <c r="F12" s="8">
        <f>=IF(B12&gt;0, C12/B12, 0)</f>
        <v>0</v>
      </c>
      <c r="H12" s="6" t="s">
        <v>36</v>
      </c>
      <c r="I12" s="7">
        <f>=COUNTIF($B$16:$B$111, H12)</f>
        <v>9</v>
      </c>
      <c r="J12" s="7">
        <f>=COUNTIFS($B$16:$B$111, H12, $F$16:$F$111, "Completed")</f>
        <v>0</v>
      </c>
      <c r="K12" s="7">
        <f>=I12-J12-L12</f>
        <v>9</v>
      </c>
      <c r="L12" s="7">
        <f>=COUNTIFS($B$16:$B$111, H12, $F$16:$F$111, "Blocked")</f>
        <v>0</v>
      </c>
      <c r="M12" s="8">
        <f>=IF(I12&gt;0, J12/I12, 0)</f>
        <v>0</v>
      </c>
      <c r="O12" s="6" t="s">
        <v>37</v>
      </c>
      <c r="P12" s="7">
        <f>=COUNTIF($H$16:$H$111, O12)</f>
        <v>16</v>
      </c>
      <c r="Q12" s="7">
        <f>=COUNTIFS($H$16:$H$111, O12, $F$16:$F$111, "Completed")</f>
        <v>0</v>
      </c>
      <c r="R12" s="8">
        <f>=IF(P12&gt;0, Q12/P12, 0)</f>
        <v>0</v>
      </c>
    </row>
    <row r="13" spans="1:20" x14ac:dyDescent="0.25">
      <c r="A13" s="9" t="s">
        <v>38</v>
      </c>
      <c r="B13" s="10">
        <f>=COUNTIF($D$16:$D$111, A13)</f>
        <v>9</v>
      </c>
      <c r="C13" s="10">
        <f>=COUNTIFS($D$16:$D$111, A13, $F$16:$F$111, "Completed")</f>
        <v>0</v>
      </c>
      <c r="D13" s="10">
        <f>=B13-C13-E13</f>
        <v>9</v>
      </c>
      <c r="E13" s="10">
        <f>=COUNTIFS($D$16:$D$111, A13, $F$16:$F$111, "Blocked")</f>
        <v>0</v>
      </c>
      <c r="F13" s="11">
        <f>=IF(B13&gt;0, C13/B13, 0)</f>
        <v>0</v>
      </c>
      <c r="H13" s="9" t="s">
        <v>39</v>
      </c>
      <c r="I13" s="10">
        <f>=COUNTIF($B$16:$B$111, H13)</f>
        <v>9</v>
      </c>
      <c r="J13" s="10">
        <f>=COUNTIFS($B$16:$B$111, H13, $F$16:$F$111, "Completed")</f>
        <v>0</v>
      </c>
      <c r="K13" s="10">
        <f>=I13-J13-L13</f>
        <v>9</v>
      </c>
      <c r="L13" s="10">
        <f>=COUNTIFS($B$16:$B$111, H13, $F$16:$F$111, "Blocked")</f>
        <v>0</v>
      </c>
      <c r="M13" s="11">
        <f>=IF(I13&gt;0, J13/I13, 0)</f>
        <v>0</v>
      </c>
      <c r="O13" s="9" t="s">
        <v>40</v>
      </c>
      <c r="P13" s="10">
        <f>=COUNTIF($H$16:$H$111, O13)</f>
        <v>16</v>
      </c>
      <c r="Q13" s="10">
        <f>=COUNTIFS($H$16:$H$111, O13, $F$16:$F$111, "Completed")</f>
        <v>0</v>
      </c>
      <c r="R13" s="11">
        <f>=IF(P13&gt;0, Q13/P13, 0)</f>
        <v>0</v>
      </c>
    </row>
    <row r="14" spans="1:20" x14ac:dyDescent="0.25">
      <c r="H14" s="6" t="s">
        <v>41</v>
      </c>
      <c r="I14" s="7">
        <f>=COUNTIF($B$16:$B$111, H14)</f>
        <v>9</v>
      </c>
      <c r="J14" s="7">
        <f>=COUNTIFS($B$16:$B$111, H14, $F$16:$F$111, "Completed")</f>
        <v>0</v>
      </c>
      <c r="K14" s="7">
        <f>=I14-J14-L14</f>
        <v>9</v>
      </c>
      <c r="L14" s="7">
        <f>=COUNTIFS($B$16:$B$111, H14, $F$16:$F$111, "Blocked")</f>
        <v>0</v>
      </c>
      <c r="M14" s="8">
        <f>=IF(I14&gt;0, J14/I14, 0)</f>
        <v>0</v>
      </c>
      <c r="O14" s="6" t="s">
        <v>42</v>
      </c>
      <c r="P14" s="7">
        <f>=COUNTIF($H$16:$H$111, O14)</f>
        <v>6</v>
      </c>
      <c r="Q14" s="7">
        <f>=COUNTIFS($H$16:$H$111, O14, $F$16:$F$111, "Completed")</f>
        <v>0</v>
      </c>
      <c r="R14" s="8">
        <f>=IF(P14&gt;0, Q14/P14, 0)</f>
        <v>0</v>
      </c>
    </row>
    <row r="15" ht="26" customHeight="1" spans="1:20" x14ac:dyDescent="0.25">
      <c r="A15" s="12" t="s">
        <v>43</v>
      </c>
      <c r="B15" s="12" t="s">
        <v>44</v>
      </c>
      <c r="C15" s="12" t="s">
        <v>45</v>
      </c>
      <c r="D15" s="12" t="s">
        <v>46</v>
      </c>
      <c r="E15" s="12" t="s">
        <v>47</v>
      </c>
      <c r="F15" s="12" t="s">
        <v>48</v>
      </c>
      <c r="G15" s="12" t="s">
        <v>49</v>
      </c>
      <c r="H15" s="12" t="s">
        <v>50</v>
      </c>
      <c r="I15" s="12" t="s">
        <v>51</v>
      </c>
      <c r="J15" s="12" t="s">
        <v>52</v>
      </c>
      <c r="K15" s="12" t="s">
        <v>53</v>
      </c>
      <c r="L15" s="12" t="s">
        <v>54</v>
      </c>
      <c r="M15" s="12" t="s">
        <v>55</v>
      </c>
      <c r="N15" s="12" t="s">
        <v>56</v>
      </c>
      <c r="O15" s="12" t="s">
        <v>57</v>
      </c>
      <c r="P15" s="12" t="s">
        <v>58</v>
      </c>
      <c r="Q15" s="12" t="s">
        <v>59</v>
      </c>
      <c r="R15" s="12" t="s">
        <v>60</v>
      </c>
    </row>
    <row r="16" spans="1:20" x14ac:dyDescent="0.25">
      <c r="A16" s="13" t="s">
        <v>61</v>
      </c>
      <c r="B16" s="6" t="s">
        <v>41</v>
      </c>
      <c r="C16" s="6" t="s">
        <v>62</v>
      </c>
      <c r="D16" s="6" t="s">
        <v>63</v>
      </c>
      <c r="E16" s="13" t="s">
        <v>64</v>
      </c>
      <c r="F16" s="13" t="s">
        <v>65</v>
      </c>
      <c r="G16" s="14">
        <f>=IF(F16="Completed", 1, IF(F16="In Progress", 0.5, IF(F16="Review", 0.8, 0)))</f>
        <v>0</v>
      </c>
      <c r="H16" s="13" t="s">
        <v>25</v>
      </c>
      <c r="I16" s="13" t="s">
        <v>66</v>
      </c>
      <c r="J16" s="6" t="s">
        <v>67</v>
      </c>
      <c r="K16" s="6" t="s">
        <v>68</v>
      </c>
      <c r="L16" s="6" t="s">
        <v>69</v>
      </c>
      <c r="M16" s="6" t="s">
        <v>70</v>
      </c>
      <c r="N16" s="6" t="s">
        <v>71</v>
      </c>
      <c r="O16" s="13" t="s">
        <v>17</v>
      </c>
      <c r="P16" s="13" t="s">
        <v>17</v>
      </c>
      <c r="Q16" s="6" t="s">
        <v>72</v>
      </c>
      <c r="R16" s="13" t="s">
        <v>73</v>
      </c>
    </row>
    <row r="17" spans="1:20" x14ac:dyDescent="0.25">
      <c r="A17" s="15" t="s">
        <v>74</v>
      </c>
      <c r="B17" s="9" t="s">
        <v>41</v>
      </c>
      <c r="C17" s="9" t="s">
        <v>75</v>
      </c>
      <c r="D17" s="9" t="s">
        <v>26</v>
      </c>
      <c r="E17" s="15" t="s">
        <v>64</v>
      </c>
      <c r="F17" s="15" t="s">
        <v>65</v>
      </c>
      <c r="G17" s="16">
        <f>=IF(F17="Completed", 1, IF(F17="In Progress", 0.5, IF(F17="Review", 0.8, 0)))</f>
        <v>0</v>
      </c>
      <c r="H17" s="15" t="s">
        <v>25</v>
      </c>
      <c r="I17" s="15" t="s">
        <v>66</v>
      </c>
      <c r="J17" s="9" t="s">
        <v>76</v>
      </c>
      <c r="K17" s="9" t="s">
        <v>77</v>
      </c>
      <c r="L17" s="9" t="s">
        <v>78</v>
      </c>
      <c r="M17" s="9" t="s">
        <v>79</v>
      </c>
      <c r="N17" s="9" t="s">
        <v>80</v>
      </c>
      <c r="O17" s="15" t="s">
        <v>17</v>
      </c>
      <c r="P17" s="15" t="s">
        <v>17</v>
      </c>
      <c r="Q17" s="9" t="s">
        <v>81</v>
      </c>
      <c r="R17" s="15" t="s">
        <v>73</v>
      </c>
    </row>
    <row r="18" spans="1:20" x14ac:dyDescent="0.25">
      <c r="A18" s="13" t="s">
        <v>82</v>
      </c>
      <c r="B18" s="6" t="s">
        <v>41</v>
      </c>
      <c r="C18" s="6" t="s">
        <v>83</v>
      </c>
      <c r="D18" s="6" t="s">
        <v>26</v>
      </c>
      <c r="E18" s="13" t="s">
        <v>64</v>
      </c>
      <c r="F18" s="13" t="s">
        <v>65</v>
      </c>
      <c r="G18" s="14">
        <f>=IF(F18="Completed", 1, IF(F18="In Progress", 0.5, IF(F18="Review", 0.8, 0)))</f>
        <v>0</v>
      </c>
      <c r="H18" s="13" t="s">
        <v>25</v>
      </c>
      <c r="I18" s="13" t="s">
        <v>74</v>
      </c>
      <c r="J18" s="6" t="s">
        <v>84</v>
      </c>
      <c r="K18" s="6" t="s">
        <v>85</v>
      </c>
      <c r="L18" s="6" t="s">
        <v>86</v>
      </c>
      <c r="M18" s="6" t="s">
        <v>87</v>
      </c>
      <c r="N18" s="6" t="s">
        <v>80</v>
      </c>
      <c r="O18" s="13" t="s">
        <v>17</v>
      </c>
      <c r="P18" s="13" t="s">
        <v>17</v>
      </c>
      <c r="Q18" s="6" t="s">
        <v>88</v>
      </c>
      <c r="R18" s="13" t="s">
        <v>73</v>
      </c>
    </row>
    <row r="19" spans="1:20" x14ac:dyDescent="0.25">
      <c r="A19" s="15" t="s">
        <v>89</v>
      </c>
      <c r="B19" s="9" t="s">
        <v>41</v>
      </c>
      <c r="C19" s="9" t="s">
        <v>90</v>
      </c>
      <c r="D19" s="9" t="s">
        <v>26</v>
      </c>
      <c r="E19" s="15" t="s">
        <v>91</v>
      </c>
      <c r="F19" s="15" t="s">
        <v>65</v>
      </c>
      <c r="G19" s="16">
        <f>=IF(F19="Completed", 1, IF(F19="In Progress", 0.5, IF(F19="Review", 0.8, 0)))</f>
        <v>0</v>
      </c>
      <c r="H19" s="15" t="s">
        <v>25</v>
      </c>
      <c r="I19" s="15" t="s">
        <v>66</v>
      </c>
      <c r="J19" s="9" t="s">
        <v>92</v>
      </c>
      <c r="K19" s="9" t="s">
        <v>93</v>
      </c>
      <c r="L19" s="9" t="s">
        <v>94</v>
      </c>
      <c r="M19" s="9" t="s">
        <v>95</v>
      </c>
      <c r="N19" s="9" t="s">
        <v>96</v>
      </c>
      <c r="O19" s="15" t="s">
        <v>17</v>
      </c>
      <c r="P19" s="15" t="s">
        <v>17</v>
      </c>
      <c r="Q19" s="9" t="s">
        <v>97</v>
      </c>
      <c r="R19" s="15" t="s">
        <v>73</v>
      </c>
    </row>
    <row r="20" spans="1:20" x14ac:dyDescent="0.25">
      <c r="A20" s="13" t="s">
        <v>98</v>
      </c>
      <c r="B20" s="6" t="s">
        <v>41</v>
      </c>
      <c r="C20" s="6" t="s">
        <v>99</v>
      </c>
      <c r="D20" s="6" t="s">
        <v>32</v>
      </c>
      <c r="E20" s="13" t="s">
        <v>64</v>
      </c>
      <c r="F20" s="13" t="s">
        <v>65</v>
      </c>
      <c r="G20" s="14">
        <f>=IF(F20="Completed", 1, IF(F20="In Progress", 0.5, IF(F20="Review", 0.8, 0)))</f>
        <v>0</v>
      </c>
      <c r="H20" s="13" t="s">
        <v>25</v>
      </c>
      <c r="I20" s="13" t="s">
        <v>66</v>
      </c>
      <c r="J20" s="6" t="s">
        <v>100</v>
      </c>
      <c r="K20" s="6" t="s">
        <v>101</v>
      </c>
      <c r="L20" s="6" t="s">
        <v>102</v>
      </c>
      <c r="M20" s="6" t="s">
        <v>103</v>
      </c>
      <c r="N20" s="6" t="s">
        <v>71</v>
      </c>
      <c r="O20" s="13" t="s">
        <v>17</v>
      </c>
      <c r="P20" s="13" t="s">
        <v>17</v>
      </c>
      <c r="Q20" s="6" t="s">
        <v>104</v>
      </c>
      <c r="R20" s="13" t="s">
        <v>73</v>
      </c>
    </row>
    <row r="21" spans="1:20" x14ac:dyDescent="0.25">
      <c r="A21" s="15" t="s">
        <v>105</v>
      </c>
      <c r="B21" s="9" t="s">
        <v>41</v>
      </c>
      <c r="C21" s="9" t="s">
        <v>106</v>
      </c>
      <c r="D21" s="9" t="s">
        <v>26</v>
      </c>
      <c r="E21" s="15" t="s">
        <v>107</v>
      </c>
      <c r="F21" s="15" t="s">
        <v>65</v>
      </c>
      <c r="G21" s="16">
        <f>=IF(F21="Completed", 1, IF(F21="In Progress", 0.5, IF(F21="Review", 0.8, 0)))</f>
        <v>0</v>
      </c>
      <c r="H21" s="15" t="s">
        <v>25</v>
      </c>
      <c r="I21" s="15" t="s">
        <v>66</v>
      </c>
      <c r="J21" s="9" t="s">
        <v>108</v>
      </c>
      <c r="K21" s="9" t="s">
        <v>109</v>
      </c>
      <c r="L21" s="9" t="s">
        <v>110</v>
      </c>
      <c r="M21" s="9" t="s">
        <v>111</v>
      </c>
      <c r="N21" s="9" t="s">
        <v>71</v>
      </c>
      <c r="O21" s="15" t="s">
        <v>17</v>
      </c>
      <c r="P21" s="15" t="s">
        <v>17</v>
      </c>
      <c r="Q21" s="9" t="s">
        <v>112</v>
      </c>
      <c r="R21" s="15" t="s">
        <v>73</v>
      </c>
    </row>
    <row r="22" spans="1:20" x14ac:dyDescent="0.25">
      <c r="A22" s="13" t="s">
        <v>113</v>
      </c>
      <c r="B22" s="6" t="s">
        <v>41</v>
      </c>
      <c r="C22" s="6" t="s">
        <v>114</v>
      </c>
      <c r="D22" s="6" t="s">
        <v>26</v>
      </c>
      <c r="E22" s="13" t="s">
        <v>107</v>
      </c>
      <c r="F22" s="13" t="s">
        <v>65</v>
      </c>
      <c r="G22" s="14">
        <f>=IF(F22="Completed", 1, IF(F22="In Progress", 0.5, IF(F22="Review", 0.8, 0)))</f>
        <v>0</v>
      </c>
      <c r="H22" s="13" t="s">
        <v>25</v>
      </c>
      <c r="I22" s="13" t="s">
        <v>66</v>
      </c>
      <c r="J22" s="6" t="s">
        <v>115</v>
      </c>
      <c r="K22" s="6" t="s">
        <v>116</v>
      </c>
      <c r="L22" s="6" t="s">
        <v>117</v>
      </c>
      <c r="M22" s="6" t="s">
        <v>118</v>
      </c>
      <c r="N22" s="6" t="s">
        <v>71</v>
      </c>
      <c r="O22" s="13" t="s">
        <v>17</v>
      </c>
      <c r="P22" s="13" t="s">
        <v>17</v>
      </c>
      <c r="Q22" s="6" t="s">
        <v>119</v>
      </c>
      <c r="R22" s="13" t="s">
        <v>73</v>
      </c>
    </row>
    <row r="23" spans="1:20" x14ac:dyDescent="0.25">
      <c r="A23" s="15" t="s">
        <v>120</v>
      </c>
      <c r="B23" s="9" t="s">
        <v>41</v>
      </c>
      <c r="C23" s="9" t="s">
        <v>121</v>
      </c>
      <c r="D23" s="9" t="s">
        <v>32</v>
      </c>
      <c r="E23" s="15" t="s">
        <v>107</v>
      </c>
      <c r="F23" s="15" t="s">
        <v>65</v>
      </c>
      <c r="G23" s="16">
        <f>=IF(F23="Completed", 1, IF(F23="In Progress", 0.5, IF(F23="Review", 0.8, 0)))</f>
        <v>0</v>
      </c>
      <c r="H23" s="15" t="s">
        <v>28</v>
      </c>
      <c r="I23" s="15" t="s">
        <v>98</v>
      </c>
      <c r="J23" s="9" t="s">
        <v>122</v>
      </c>
      <c r="K23" s="9" t="s">
        <v>123</v>
      </c>
      <c r="L23" s="9" t="s">
        <v>124</v>
      </c>
      <c r="M23" s="9" t="s">
        <v>125</v>
      </c>
      <c r="N23" s="9" t="s">
        <v>71</v>
      </c>
      <c r="O23" s="15" t="s">
        <v>17</v>
      </c>
      <c r="P23" s="15" t="s">
        <v>17</v>
      </c>
      <c r="Q23" s="9" t="s">
        <v>126</v>
      </c>
      <c r="R23" s="15" t="s">
        <v>73</v>
      </c>
    </row>
    <row r="24" spans="1:20" x14ac:dyDescent="0.25">
      <c r="A24" s="13" t="s">
        <v>127</v>
      </c>
      <c r="B24" s="6" t="s">
        <v>41</v>
      </c>
      <c r="C24" s="6" t="s">
        <v>128</v>
      </c>
      <c r="D24" s="6" t="s">
        <v>63</v>
      </c>
      <c r="E24" s="13" t="s">
        <v>107</v>
      </c>
      <c r="F24" s="13" t="s">
        <v>65</v>
      </c>
      <c r="G24" s="14">
        <f>=IF(F24="Completed", 1, IF(F24="In Progress", 0.5, IF(F24="Review", 0.8, 0)))</f>
        <v>0</v>
      </c>
      <c r="H24" s="13" t="s">
        <v>129</v>
      </c>
      <c r="I24" s="13" t="s">
        <v>66</v>
      </c>
      <c r="J24" s="6" t="s">
        <v>130</v>
      </c>
      <c r="K24" s="6" t="s">
        <v>131</v>
      </c>
      <c r="L24" s="6" t="s">
        <v>132</v>
      </c>
      <c r="M24" s="6" t="s">
        <v>133</v>
      </c>
      <c r="N24" s="6" t="s">
        <v>71</v>
      </c>
      <c r="O24" s="13" t="s">
        <v>17</v>
      </c>
      <c r="P24" s="13" t="s">
        <v>17</v>
      </c>
      <c r="Q24" s="6" t="s">
        <v>134</v>
      </c>
      <c r="R24" s="13" t="s">
        <v>73</v>
      </c>
    </row>
    <row r="25" spans="1:20" x14ac:dyDescent="0.25">
      <c r="A25" s="15" t="s">
        <v>135</v>
      </c>
      <c r="B25" s="9" t="s">
        <v>30</v>
      </c>
      <c r="C25" s="9" t="s">
        <v>136</v>
      </c>
      <c r="D25" s="9" t="s">
        <v>29</v>
      </c>
      <c r="E25" s="15" t="s">
        <v>91</v>
      </c>
      <c r="F25" s="15" t="s">
        <v>65</v>
      </c>
      <c r="G25" s="16">
        <f>=IF(F25="Completed", 1, IF(F25="In Progress", 0.5, IF(F25="Review", 0.8, 0)))</f>
        <v>0</v>
      </c>
      <c r="H25" s="15" t="s">
        <v>28</v>
      </c>
      <c r="I25" s="15" t="s">
        <v>89</v>
      </c>
      <c r="J25" s="9" t="s">
        <v>137</v>
      </c>
      <c r="K25" s="9" t="s">
        <v>138</v>
      </c>
      <c r="L25" s="9" t="s">
        <v>139</v>
      </c>
      <c r="M25" s="9" t="s">
        <v>140</v>
      </c>
      <c r="N25" s="9" t="s">
        <v>96</v>
      </c>
      <c r="O25" s="15" t="s">
        <v>17</v>
      </c>
      <c r="P25" s="15" t="s">
        <v>17</v>
      </c>
      <c r="Q25" s="9" t="s">
        <v>141</v>
      </c>
      <c r="R25" s="15" t="s">
        <v>73</v>
      </c>
    </row>
    <row r="26" spans="1:20" x14ac:dyDescent="0.25">
      <c r="A26" s="13" t="s">
        <v>142</v>
      </c>
      <c r="B26" s="6" t="s">
        <v>30</v>
      </c>
      <c r="C26" s="6" t="s">
        <v>143</v>
      </c>
      <c r="D26" s="6" t="s">
        <v>29</v>
      </c>
      <c r="E26" s="13" t="s">
        <v>64</v>
      </c>
      <c r="F26" s="13" t="s">
        <v>65</v>
      </c>
      <c r="G26" s="14">
        <f>=IF(F26="Completed", 1, IF(F26="In Progress", 0.5, IF(F26="Review", 0.8, 0)))</f>
        <v>0</v>
      </c>
      <c r="H26" s="13" t="s">
        <v>28</v>
      </c>
      <c r="I26" s="13" t="s">
        <v>135</v>
      </c>
      <c r="J26" s="6" t="s">
        <v>144</v>
      </c>
      <c r="K26" s="6" t="s">
        <v>145</v>
      </c>
      <c r="L26" s="6" t="s">
        <v>139</v>
      </c>
      <c r="M26" s="6" t="s">
        <v>146</v>
      </c>
      <c r="N26" s="6" t="s">
        <v>96</v>
      </c>
      <c r="O26" s="13" t="s">
        <v>17</v>
      </c>
      <c r="P26" s="13" t="s">
        <v>17</v>
      </c>
      <c r="Q26" s="6" t="s">
        <v>147</v>
      </c>
      <c r="R26" s="13" t="s">
        <v>73</v>
      </c>
    </row>
    <row r="27" spans="1:20" x14ac:dyDescent="0.25">
      <c r="A27" s="15" t="s">
        <v>148</v>
      </c>
      <c r="B27" s="9" t="s">
        <v>30</v>
      </c>
      <c r="C27" s="9" t="s">
        <v>149</v>
      </c>
      <c r="D27" s="9" t="s">
        <v>29</v>
      </c>
      <c r="E27" s="15" t="s">
        <v>64</v>
      </c>
      <c r="F27" s="15" t="s">
        <v>65</v>
      </c>
      <c r="G27" s="16">
        <f>=IF(F27="Completed", 1, IF(F27="In Progress", 0.5, IF(F27="Review", 0.8, 0)))</f>
        <v>0</v>
      </c>
      <c r="H27" s="15" t="s">
        <v>28</v>
      </c>
      <c r="I27" s="15" t="s">
        <v>142</v>
      </c>
      <c r="J27" s="9" t="s">
        <v>150</v>
      </c>
      <c r="K27" s="9" t="s">
        <v>151</v>
      </c>
      <c r="L27" s="9" t="s">
        <v>139</v>
      </c>
      <c r="M27" s="9" t="s">
        <v>152</v>
      </c>
      <c r="N27" s="9" t="s">
        <v>96</v>
      </c>
      <c r="O27" s="15" t="s">
        <v>17</v>
      </c>
      <c r="P27" s="15" t="s">
        <v>17</v>
      </c>
      <c r="Q27" s="9" t="s">
        <v>153</v>
      </c>
      <c r="R27" s="15" t="s">
        <v>73</v>
      </c>
    </row>
    <row r="28" spans="1:20" x14ac:dyDescent="0.25">
      <c r="A28" s="13" t="s">
        <v>154</v>
      </c>
      <c r="B28" s="6" t="s">
        <v>30</v>
      </c>
      <c r="C28" s="6" t="s">
        <v>155</v>
      </c>
      <c r="D28" s="6" t="s">
        <v>29</v>
      </c>
      <c r="E28" s="13" t="s">
        <v>107</v>
      </c>
      <c r="F28" s="13" t="s">
        <v>65</v>
      </c>
      <c r="G28" s="14">
        <f>=IF(F28="Completed", 1, IF(F28="In Progress", 0.5, IF(F28="Review", 0.8, 0)))</f>
        <v>0</v>
      </c>
      <c r="H28" s="13" t="s">
        <v>28</v>
      </c>
      <c r="I28" s="13" t="s">
        <v>135</v>
      </c>
      <c r="J28" s="6" t="s">
        <v>156</v>
      </c>
      <c r="K28" s="6" t="s">
        <v>157</v>
      </c>
      <c r="L28" s="6" t="s">
        <v>139</v>
      </c>
      <c r="M28" s="6" t="s">
        <v>158</v>
      </c>
      <c r="N28" s="6" t="s">
        <v>96</v>
      </c>
      <c r="O28" s="13" t="s">
        <v>17</v>
      </c>
      <c r="P28" s="13" t="s">
        <v>17</v>
      </c>
      <c r="Q28" s="6" t="s">
        <v>159</v>
      </c>
      <c r="R28" s="13" t="s">
        <v>73</v>
      </c>
    </row>
    <row r="29" spans="1:20" x14ac:dyDescent="0.25">
      <c r="A29" s="15" t="s">
        <v>160</v>
      </c>
      <c r="B29" s="9" t="s">
        <v>30</v>
      </c>
      <c r="C29" s="9" t="s">
        <v>161</v>
      </c>
      <c r="D29" s="9" t="s">
        <v>29</v>
      </c>
      <c r="E29" s="15" t="s">
        <v>91</v>
      </c>
      <c r="F29" s="15" t="s">
        <v>65</v>
      </c>
      <c r="G29" s="16">
        <f>=IF(F29="Completed", 1, IF(F29="In Progress", 0.5, IF(F29="Review", 0.8, 0)))</f>
        <v>0</v>
      </c>
      <c r="H29" s="15" t="s">
        <v>31</v>
      </c>
      <c r="I29" s="15" t="s">
        <v>135</v>
      </c>
      <c r="J29" s="9" t="s">
        <v>162</v>
      </c>
      <c r="K29" s="9" t="s">
        <v>163</v>
      </c>
      <c r="L29" s="9" t="s">
        <v>139</v>
      </c>
      <c r="M29" s="9" t="s">
        <v>164</v>
      </c>
      <c r="N29" s="9" t="s">
        <v>96</v>
      </c>
      <c r="O29" s="15" t="s">
        <v>17</v>
      </c>
      <c r="P29" s="15" t="s">
        <v>17</v>
      </c>
      <c r="Q29" s="9" t="s">
        <v>165</v>
      </c>
      <c r="R29" s="15" t="s">
        <v>166</v>
      </c>
    </row>
    <row r="30" spans="1:20" x14ac:dyDescent="0.25">
      <c r="A30" s="13" t="s">
        <v>167</v>
      </c>
      <c r="B30" s="6" t="s">
        <v>30</v>
      </c>
      <c r="C30" s="6" t="s">
        <v>168</v>
      </c>
      <c r="D30" s="6" t="s">
        <v>29</v>
      </c>
      <c r="E30" s="13" t="s">
        <v>64</v>
      </c>
      <c r="F30" s="13" t="s">
        <v>65</v>
      </c>
      <c r="G30" s="14">
        <f>=IF(F30="Completed", 1, IF(F30="In Progress", 0.5, IF(F30="Review", 0.8, 0)))</f>
        <v>0</v>
      </c>
      <c r="H30" s="13" t="s">
        <v>31</v>
      </c>
      <c r="I30" s="13" t="s">
        <v>160</v>
      </c>
      <c r="J30" s="6" t="s">
        <v>169</v>
      </c>
      <c r="K30" s="6" t="s">
        <v>170</v>
      </c>
      <c r="L30" s="6" t="s">
        <v>139</v>
      </c>
      <c r="M30" s="6" t="s">
        <v>171</v>
      </c>
      <c r="N30" s="6" t="s">
        <v>96</v>
      </c>
      <c r="O30" s="13" t="s">
        <v>17</v>
      </c>
      <c r="P30" s="13" t="s">
        <v>17</v>
      </c>
      <c r="Q30" s="6" t="s">
        <v>172</v>
      </c>
      <c r="R30" s="13" t="s">
        <v>166</v>
      </c>
    </row>
    <row r="31" spans="1:20" x14ac:dyDescent="0.25">
      <c r="A31" s="15" t="s">
        <v>173</v>
      </c>
      <c r="B31" s="9" t="s">
        <v>30</v>
      </c>
      <c r="C31" s="9" t="s">
        <v>174</v>
      </c>
      <c r="D31" s="9" t="s">
        <v>29</v>
      </c>
      <c r="E31" s="15" t="s">
        <v>107</v>
      </c>
      <c r="F31" s="15" t="s">
        <v>65</v>
      </c>
      <c r="G31" s="16">
        <f>=IF(F31="Completed", 1, IF(F31="In Progress", 0.5, IF(F31="Review", 0.8, 0)))</f>
        <v>0</v>
      </c>
      <c r="H31" s="15" t="s">
        <v>34</v>
      </c>
      <c r="I31" s="15" t="s">
        <v>160</v>
      </c>
      <c r="J31" s="9" t="s">
        <v>175</v>
      </c>
      <c r="K31" s="9" t="s">
        <v>176</v>
      </c>
      <c r="L31" s="9" t="s">
        <v>139</v>
      </c>
      <c r="M31" s="9" t="s">
        <v>177</v>
      </c>
      <c r="N31" s="9" t="s">
        <v>96</v>
      </c>
      <c r="O31" s="15" t="s">
        <v>17</v>
      </c>
      <c r="P31" s="15" t="s">
        <v>17</v>
      </c>
      <c r="Q31" s="9" t="s">
        <v>178</v>
      </c>
      <c r="R31" s="15" t="s">
        <v>166</v>
      </c>
    </row>
    <row r="32" spans="1:20" x14ac:dyDescent="0.25">
      <c r="A32" s="13" t="s">
        <v>179</v>
      </c>
      <c r="B32" s="6" t="s">
        <v>30</v>
      </c>
      <c r="C32" s="6" t="s">
        <v>180</v>
      </c>
      <c r="D32" s="6" t="s">
        <v>29</v>
      </c>
      <c r="E32" s="13" t="s">
        <v>107</v>
      </c>
      <c r="F32" s="13" t="s">
        <v>65</v>
      </c>
      <c r="G32" s="14">
        <f>=IF(F32="Completed", 1, IF(F32="In Progress", 0.5, IF(F32="Review", 0.8, 0)))</f>
        <v>0</v>
      </c>
      <c r="H32" s="13" t="s">
        <v>34</v>
      </c>
      <c r="I32" s="13" t="s">
        <v>160</v>
      </c>
      <c r="J32" s="6" t="s">
        <v>181</v>
      </c>
      <c r="K32" s="6" t="s">
        <v>182</v>
      </c>
      <c r="L32" s="6" t="s">
        <v>139</v>
      </c>
      <c r="M32" s="6" t="s">
        <v>183</v>
      </c>
      <c r="N32" s="6" t="s">
        <v>96</v>
      </c>
      <c r="O32" s="13" t="s">
        <v>17</v>
      </c>
      <c r="P32" s="13" t="s">
        <v>17</v>
      </c>
      <c r="Q32" s="6" t="s">
        <v>184</v>
      </c>
      <c r="R32" s="13" t="s">
        <v>166</v>
      </c>
    </row>
    <row r="33" spans="1:20" x14ac:dyDescent="0.25">
      <c r="A33" s="15" t="s">
        <v>185</v>
      </c>
      <c r="B33" s="9" t="s">
        <v>30</v>
      </c>
      <c r="C33" s="9" t="s">
        <v>186</v>
      </c>
      <c r="D33" s="9" t="s">
        <v>29</v>
      </c>
      <c r="E33" s="15" t="s">
        <v>64</v>
      </c>
      <c r="F33" s="15" t="s">
        <v>65</v>
      </c>
      <c r="G33" s="16">
        <f>=IF(F33="Completed", 1, IF(F33="In Progress", 0.5, IF(F33="Review", 0.8, 0)))</f>
        <v>0</v>
      </c>
      <c r="H33" s="15" t="s">
        <v>37</v>
      </c>
      <c r="I33" s="15" t="s">
        <v>135</v>
      </c>
      <c r="J33" s="9" t="s">
        <v>187</v>
      </c>
      <c r="K33" s="9" t="s">
        <v>188</v>
      </c>
      <c r="L33" s="9" t="s">
        <v>139</v>
      </c>
      <c r="M33" s="9" t="s">
        <v>189</v>
      </c>
      <c r="N33" s="9" t="s">
        <v>96</v>
      </c>
      <c r="O33" s="15" t="s">
        <v>17</v>
      </c>
      <c r="P33" s="15" t="s">
        <v>17</v>
      </c>
      <c r="Q33" s="9" t="s">
        <v>190</v>
      </c>
      <c r="R33" s="15" t="s">
        <v>166</v>
      </c>
    </row>
    <row r="34" spans="1:20" x14ac:dyDescent="0.25">
      <c r="A34" s="13" t="s">
        <v>191</v>
      </c>
      <c r="B34" s="6" t="s">
        <v>30</v>
      </c>
      <c r="C34" s="6" t="s">
        <v>192</v>
      </c>
      <c r="D34" s="6" t="s">
        <v>29</v>
      </c>
      <c r="E34" s="13" t="s">
        <v>107</v>
      </c>
      <c r="F34" s="13" t="s">
        <v>65</v>
      </c>
      <c r="G34" s="14">
        <f>=IF(F34="Completed", 1, IF(F34="In Progress", 0.5, IF(F34="Review", 0.8, 0)))</f>
        <v>0</v>
      </c>
      <c r="H34" s="13" t="s">
        <v>40</v>
      </c>
      <c r="I34" s="13" t="s">
        <v>135</v>
      </c>
      <c r="J34" s="6" t="s">
        <v>193</v>
      </c>
      <c r="K34" s="6" t="s">
        <v>194</v>
      </c>
      <c r="L34" s="6" t="s">
        <v>139</v>
      </c>
      <c r="M34" s="6" t="s">
        <v>195</v>
      </c>
      <c r="N34" s="6" t="s">
        <v>96</v>
      </c>
      <c r="O34" s="13" t="s">
        <v>17</v>
      </c>
      <c r="P34" s="13" t="s">
        <v>17</v>
      </c>
      <c r="Q34" s="6" t="s">
        <v>196</v>
      </c>
      <c r="R34" s="13" t="s">
        <v>73</v>
      </c>
    </row>
    <row r="35" spans="1:20" x14ac:dyDescent="0.25">
      <c r="A35" s="15" t="s">
        <v>197</v>
      </c>
      <c r="B35" s="9" t="s">
        <v>30</v>
      </c>
      <c r="C35" s="9" t="s">
        <v>198</v>
      </c>
      <c r="D35" s="9" t="s">
        <v>29</v>
      </c>
      <c r="E35" s="15" t="s">
        <v>64</v>
      </c>
      <c r="F35" s="15" t="s">
        <v>65</v>
      </c>
      <c r="G35" s="16">
        <f>=IF(F35="Completed", 1, IF(F35="In Progress", 0.5, IF(F35="Review", 0.8, 0)))</f>
        <v>0</v>
      </c>
      <c r="H35" s="15" t="s">
        <v>40</v>
      </c>
      <c r="I35" s="15" t="s">
        <v>135</v>
      </c>
      <c r="J35" s="9" t="s">
        <v>199</v>
      </c>
      <c r="K35" s="9" t="s">
        <v>200</v>
      </c>
      <c r="L35" s="9" t="s">
        <v>139</v>
      </c>
      <c r="M35" s="9" t="s">
        <v>201</v>
      </c>
      <c r="N35" s="9" t="s">
        <v>96</v>
      </c>
      <c r="O35" s="15" t="s">
        <v>17</v>
      </c>
      <c r="P35" s="15" t="s">
        <v>17</v>
      </c>
      <c r="Q35" s="9" t="s">
        <v>202</v>
      </c>
      <c r="R35" s="15" t="s">
        <v>73</v>
      </c>
    </row>
    <row r="36" spans="1:20" x14ac:dyDescent="0.25">
      <c r="A36" s="13" t="s">
        <v>203</v>
      </c>
      <c r="B36" s="6" t="s">
        <v>30</v>
      </c>
      <c r="C36" s="6" t="s">
        <v>204</v>
      </c>
      <c r="D36" s="6" t="s">
        <v>29</v>
      </c>
      <c r="E36" s="13" t="s">
        <v>107</v>
      </c>
      <c r="F36" s="13" t="s">
        <v>65</v>
      </c>
      <c r="G36" s="14">
        <f>=IF(F36="Completed", 1, IF(F36="In Progress", 0.5, IF(F36="Review", 0.8, 0)))</f>
        <v>0</v>
      </c>
      <c r="H36" s="13" t="s">
        <v>37</v>
      </c>
      <c r="I36" s="13" t="s">
        <v>135</v>
      </c>
      <c r="J36" s="6" t="s">
        <v>205</v>
      </c>
      <c r="K36" s="6" t="s">
        <v>206</v>
      </c>
      <c r="L36" s="6" t="s">
        <v>139</v>
      </c>
      <c r="M36" s="6" t="s">
        <v>207</v>
      </c>
      <c r="N36" s="6" t="s">
        <v>96</v>
      </c>
      <c r="O36" s="13" t="s">
        <v>17</v>
      </c>
      <c r="P36" s="13" t="s">
        <v>17</v>
      </c>
      <c r="Q36" s="6" t="s">
        <v>208</v>
      </c>
      <c r="R36" s="13" t="s">
        <v>166</v>
      </c>
    </row>
    <row r="37" spans="1:20" x14ac:dyDescent="0.25">
      <c r="A37" s="15" t="s">
        <v>209</v>
      </c>
      <c r="B37" s="9" t="s">
        <v>30</v>
      </c>
      <c r="C37" s="9" t="s">
        <v>210</v>
      </c>
      <c r="D37" s="9" t="s">
        <v>29</v>
      </c>
      <c r="E37" s="15" t="s">
        <v>64</v>
      </c>
      <c r="F37" s="15" t="s">
        <v>65</v>
      </c>
      <c r="G37" s="16">
        <f>=IF(F37="Completed", 1, IF(F37="In Progress", 0.5, IF(F37="Review", 0.8, 0)))</f>
        <v>0</v>
      </c>
      <c r="H37" s="15" t="s">
        <v>28</v>
      </c>
      <c r="I37" s="15" t="s">
        <v>135</v>
      </c>
      <c r="J37" s="9" t="s">
        <v>211</v>
      </c>
      <c r="K37" s="9" t="s">
        <v>212</v>
      </c>
      <c r="L37" s="9" t="s">
        <v>213</v>
      </c>
      <c r="M37" s="9" t="s">
        <v>214</v>
      </c>
      <c r="N37" s="9" t="s">
        <v>96</v>
      </c>
      <c r="O37" s="15" t="s">
        <v>17</v>
      </c>
      <c r="P37" s="15" t="s">
        <v>17</v>
      </c>
      <c r="Q37" s="9" t="s">
        <v>215</v>
      </c>
      <c r="R37" s="15" t="s">
        <v>73</v>
      </c>
    </row>
    <row r="38" spans="1:20" x14ac:dyDescent="0.25">
      <c r="A38" s="13" t="s">
        <v>216</v>
      </c>
      <c r="B38" s="6" t="s">
        <v>30</v>
      </c>
      <c r="C38" s="6" t="s">
        <v>217</v>
      </c>
      <c r="D38" s="6" t="s">
        <v>29</v>
      </c>
      <c r="E38" s="13" t="s">
        <v>107</v>
      </c>
      <c r="F38" s="13" t="s">
        <v>65</v>
      </c>
      <c r="G38" s="14">
        <f>=IF(F38="Completed", 1, IF(F38="In Progress", 0.5, IF(F38="Review", 0.8, 0)))</f>
        <v>0</v>
      </c>
      <c r="H38" s="13" t="s">
        <v>28</v>
      </c>
      <c r="I38" s="13" t="s">
        <v>142</v>
      </c>
      <c r="J38" s="6" t="s">
        <v>218</v>
      </c>
      <c r="K38" s="6" t="s">
        <v>219</v>
      </c>
      <c r="L38" s="6" t="s">
        <v>220</v>
      </c>
      <c r="M38" s="6" t="s">
        <v>221</v>
      </c>
      <c r="N38" s="6" t="s">
        <v>96</v>
      </c>
      <c r="O38" s="13" t="s">
        <v>17</v>
      </c>
      <c r="P38" s="13" t="s">
        <v>17</v>
      </c>
      <c r="Q38" s="6" t="s">
        <v>222</v>
      </c>
      <c r="R38" s="13" t="s">
        <v>73</v>
      </c>
    </row>
    <row r="39" spans="1:20" x14ac:dyDescent="0.25">
      <c r="A39" s="15" t="s">
        <v>223</v>
      </c>
      <c r="B39" s="9" t="s">
        <v>30</v>
      </c>
      <c r="C39" s="9" t="s">
        <v>224</v>
      </c>
      <c r="D39" s="9" t="s">
        <v>29</v>
      </c>
      <c r="E39" s="15" t="s">
        <v>64</v>
      </c>
      <c r="F39" s="15" t="s">
        <v>65</v>
      </c>
      <c r="G39" s="16">
        <f>=IF(F39="Completed", 1, IF(F39="In Progress", 0.5, IF(F39="Review", 0.8, 0)))</f>
        <v>0</v>
      </c>
      <c r="H39" s="15" t="s">
        <v>28</v>
      </c>
      <c r="I39" s="15" t="s">
        <v>135</v>
      </c>
      <c r="J39" s="9" t="s">
        <v>225</v>
      </c>
      <c r="K39" s="9" t="s">
        <v>226</v>
      </c>
      <c r="L39" s="9" t="s">
        <v>227</v>
      </c>
      <c r="M39" s="9" t="s">
        <v>228</v>
      </c>
      <c r="N39" s="9" t="s">
        <v>96</v>
      </c>
      <c r="O39" s="15" t="s">
        <v>17</v>
      </c>
      <c r="P39" s="15" t="s">
        <v>17</v>
      </c>
      <c r="Q39" s="9" t="s">
        <v>229</v>
      </c>
      <c r="R39" s="15" t="s">
        <v>73</v>
      </c>
    </row>
    <row r="40" spans="1:20" x14ac:dyDescent="0.25">
      <c r="A40" s="13" t="s">
        <v>230</v>
      </c>
      <c r="B40" s="6" t="s">
        <v>30</v>
      </c>
      <c r="C40" s="6" t="s">
        <v>231</v>
      </c>
      <c r="D40" s="6" t="s">
        <v>29</v>
      </c>
      <c r="E40" s="13" t="s">
        <v>107</v>
      </c>
      <c r="F40" s="13" t="s">
        <v>65</v>
      </c>
      <c r="G40" s="14">
        <f>=IF(F40="Completed", 1, IF(F40="In Progress", 0.5, IF(F40="Review", 0.8, 0)))</f>
        <v>0</v>
      </c>
      <c r="H40" s="13" t="s">
        <v>42</v>
      </c>
      <c r="I40" s="13" t="s">
        <v>209</v>
      </c>
      <c r="J40" s="6" t="s">
        <v>232</v>
      </c>
      <c r="K40" s="6" t="s">
        <v>233</v>
      </c>
      <c r="L40" s="6" t="s">
        <v>234</v>
      </c>
      <c r="M40" s="6" t="s">
        <v>235</v>
      </c>
      <c r="N40" s="6" t="s">
        <v>96</v>
      </c>
      <c r="O40" s="13" t="s">
        <v>17</v>
      </c>
      <c r="P40" s="13" t="s">
        <v>17</v>
      </c>
      <c r="Q40" s="6" t="s">
        <v>236</v>
      </c>
      <c r="R40" s="13" t="s">
        <v>73</v>
      </c>
    </row>
    <row r="41" spans="1:20" x14ac:dyDescent="0.25">
      <c r="A41" s="15" t="s">
        <v>237</v>
      </c>
      <c r="B41" s="9" t="s">
        <v>24</v>
      </c>
      <c r="C41" s="9" t="s">
        <v>238</v>
      </c>
      <c r="D41" s="9" t="s">
        <v>32</v>
      </c>
      <c r="E41" s="15" t="s">
        <v>91</v>
      </c>
      <c r="F41" s="15" t="s">
        <v>65</v>
      </c>
      <c r="G41" s="16">
        <f>=IF(F41="Completed", 1, IF(F41="In Progress", 0.5, IF(F41="Review", 0.8, 0)))</f>
        <v>0</v>
      </c>
      <c r="H41" s="15" t="s">
        <v>28</v>
      </c>
      <c r="I41" s="15" t="s">
        <v>98</v>
      </c>
      <c r="J41" s="9" t="s">
        <v>239</v>
      </c>
      <c r="K41" s="9" t="s">
        <v>240</v>
      </c>
      <c r="L41" s="9" t="s">
        <v>241</v>
      </c>
      <c r="M41" s="9" t="s">
        <v>242</v>
      </c>
      <c r="N41" s="9" t="s">
        <v>243</v>
      </c>
      <c r="O41" s="15" t="s">
        <v>17</v>
      </c>
      <c r="P41" s="15" t="s">
        <v>17</v>
      </c>
      <c r="Q41" s="9" t="s">
        <v>244</v>
      </c>
      <c r="R41" s="15" t="s">
        <v>73</v>
      </c>
    </row>
    <row r="42" spans="1:20" x14ac:dyDescent="0.25">
      <c r="A42" s="13" t="s">
        <v>245</v>
      </c>
      <c r="B42" s="6" t="s">
        <v>24</v>
      </c>
      <c r="C42" s="6" t="s">
        <v>246</v>
      </c>
      <c r="D42" s="6" t="s">
        <v>32</v>
      </c>
      <c r="E42" s="13" t="s">
        <v>91</v>
      </c>
      <c r="F42" s="13" t="s">
        <v>65</v>
      </c>
      <c r="G42" s="14">
        <f>=IF(F42="Completed", 1, IF(F42="In Progress", 0.5, IF(F42="Review", 0.8, 0)))</f>
        <v>0</v>
      </c>
      <c r="H42" s="13" t="s">
        <v>28</v>
      </c>
      <c r="I42" s="13" t="s">
        <v>89</v>
      </c>
      <c r="J42" s="6" t="s">
        <v>247</v>
      </c>
      <c r="K42" s="6" t="s">
        <v>248</v>
      </c>
      <c r="L42" s="6" t="s">
        <v>249</v>
      </c>
      <c r="M42" s="6" t="s">
        <v>250</v>
      </c>
      <c r="N42" s="6" t="s">
        <v>243</v>
      </c>
      <c r="O42" s="13" t="s">
        <v>17</v>
      </c>
      <c r="P42" s="13" t="s">
        <v>17</v>
      </c>
      <c r="Q42" s="6" t="s">
        <v>251</v>
      </c>
      <c r="R42" s="13" t="s">
        <v>73</v>
      </c>
    </row>
    <row r="43" spans="1:20" x14ac:dyDescent="0.25">
      <c r="A43" s="15" t="s">
        <v>252</v>
      </c>
      <c r="B43" s="9" t="s">
        <v>24</v>
      </c>
      <c r="C43" s="9" t="s">
        <v>253</v>
      </c>
      <c r="D43" s="9" t="s">
        <v>32</v>
      </c>
      <c r="E43" s="15" t="s">
        <v>64</v>
      </c>
      <c r="F43" s="15" t="s">
        <v>65</v>
      </c>
      <c r="G43" s="16">
        <f>=IF(F43="Completed", 1, IF(F43="In Progress", 0.5, IF(F43="Review", 0.8, 0)))</f>
        <v>0</v>
      </c>
      <c r="H43" s="15" t="s">
        <v>28</v>
      </c>
      <c r="I43" s="15" t="s">
        <v>98</v>
      </c>
      <c r="J43" s="9" t="s">
        <v>254</v>
      </c>
      <c r="K43" s="9" t="s">
        <v>255</v>
      </c>
      <c r="L43" s="9" t="s">
        <v>256</v>
      </c>
      <c r="M43" s="9" t="s">
        <v>257</v>
      </c>
      <c r="N43" s="9" t="s">
        <v>243</v>
      </c>
      <c r="O43" s="15" t="s">
        <v>17</v>
      </c>
      <c r="P43" s="15" t="s">
        <v>17</v>
      </c>
      <c r="Q43" s="9" t="s">
        <v>258</v>
      </c>
      <c r="R43" s="15" t="s">
        <v>73</v>
      </c>
    </row>
    <row r="44" spans="1:20" x14ac:dyDescent="0.25">
      <c r="A44" s="13" t="s">
        <v>259</v>
      </c>
      <c r="B44" s="6" t="s">
        <v>24</v>
      </c>
      <c r="C44" s="6" t="s">
        <v>260</v>
      </c>
      <c r="D44" s="6" t="s">
        <v>32</v>
      </c>
      <c r="E44" s="13" t="s">
        <v>91</v>
      </c>
      <c r="F44" s="13" t="s">
        <v>65</v>
      </c>
      <c r="G44" s="14">
        <f>=IF(F44="Completed", 1, IF(F44="In Progress", 0.5, IF(F44="Review", 0.8, 0)))</f>
        <v>0</v>
      </c>
      <c r="H44" s="13" t="s">
        <v>31</v>
      </c>
      <c r="I44" s="13" t="s">
        <v>237</v>
      </c>
      <c r="J44" s="6" t="s">
        <v>261</v>
      </c>
      <c r="K44" s="6" t="s">
        <v>262</v>
      </c>
      <c r="L44" s="6" t="s">
        <v>263</v>
      </c>
      <c r="M44" s="6" t="s">
        <v>264</v>
      </c>
      <c r="N44" s="6" t="s">
        <v>243</v>
      </c>
      <c r="O44" s="13" t="s">
        <v>17</v>
      </c>
      <c r="P44" s="13" t="s">
        <v>17</v>
      </c>
      <c r="Q44" s="6" t="s">
        <v>265</v>
      </c>
      <c r="R44" s="13" t="s">
        <v>166</v>
      </c>
    </row>
    <row r="45" spans="1:20" x14ac:dyDescent="0.25">
      <c r="A45" s="15" t="s">
        <v>266</v>
      </c>
      <c r="B45" s="9" t="s">
        <v>24</v>
      </c>
      <c r="C45" s="9" t="s">
        <v>267</v>
      </c>
      <c r="D45" s="9" t="s">
        <v>32</v>
      </c>
      <c r="E45" s="15" t="s">
        <v>91</v>
      </c>
      <c r="F45" s="15" t="s">
        <v>65</v>
      </c>
      <c r="G45" s="16">
        <f>=IF(F45="Completed", 1, IF(F45="In Progress", 0.5, IF(F45="Review", 0.8, 0)))</f>
        <v>0</v>
      </c>
      <c r="H45" s="15" t="s">
        <v>31</v>
      </c>
      <c r="I45" s="15" t="s">
        <v>259</v>
      </c>
      <c r="J45" s="9" t="s">
        <v>268</v>
      </c>
      <c r="K45" s="9" t="s">
        <v>269</v>
      </c>
      <c r="L45" s="9" t="s">
        <v>270</v>
      </c>
      <c r="M45" s="9" t="s">
        <v>271</v>
      </c>
      <c r="N45" s="9" t="s">
        <v>243</v>
      </c>
      <c r="O45" s="15" t="s">
        <v>17</v>
      </c>
      <c r="P45" s="15" t="s">
        <v>17</v>
      </c>
      <c r="Q45" s="9" t="s">
        <v>272</v>
      </c>
      <c r="R45" s="15" t="s">
        <v>166</v>
      </c>
    </row>
    <row r="46" spans="1:20" x14ac:dyDescent="0.25">
      <c r="A46" s="13" t="s">
        <v>273</v>
      </c>
      <c r="B46" s="6" t="s">
        <v>24</v>
      </c>
      <c r="C46" s="6" t="s">
        <v>274</v>
      </c>
      <c r="D46" s="6" t="s">
        <v>32</v>
      </c>
      <c r="E46" s="13" t="s">
        <v>64</v>
      </c>
      <c r="F46" s="13" t="s">
        <v>65</v>
      </c>
      <c r="G46" s="14">
        <f>=IF(F46="Completed", 1, IF(F46="In Progress", 0.5, IF(F46="Review", 0.8, 0)))</f>
        <v>0</v>
      </c>
      <c r="H46" s="13" t="s">
        <v>31</v>
      </c>
      <c r="I46" s="13" t="s">
        <v>266</v>
      </c>
      <c r="J46" s="6" t="s">
        <v>275</v>
      </c>
      <c r="K46" s="6" t="s">
        <v>276</v>
      </c>
      <c r="L46" s="6" t="s">
        <v>277</v>
      </c>
      <c r="M46" s="6" t="s">
        <v>278</v>
      </c>
      <c r="N46" s="6" t="s">
        <v>243</v>
      </c>
      <c r="O46" s="13" t="s">
        <v>17</v>
      </c>
      <c r="P46" s="13" t="s">
        <v>17</v>
      </c>
      <c r="Q46" s="6" t="s">
        <v>279</v>
      </c>
      <c r="R46" s="13" t="s">
        <v>73</v>
      </c>
    </row>
    <row r="47" spans="1:20" x14ac:dyDescent="0.25">
      <c r="A47" s="15" t="s">
        <v>280</v>
      </c>
      <c r="B47" s="9" t="s">
        <v>24</v>
      </c>
      <c r="C47" s="9" t="s">
        <v>281</v>
      </c>
      <c r="D47" s="9" t="s">
        <v>32</v>
      </c>
      <c r="E47" s="15" t="s">
        <v>107</v>
      </c>
      <c r="F47" s="15" t="s">
        <v>65</v>
      </c>
      <c r="G47" s="16">
        <f>=IF(F47="Completed", 1, IF(F47="In Progress", 0.5, IF(F47="Review", 0.8, 0)))</f>
        <v>0</v>
      </c>
      <c r="H47" s="15" t="s">
        <v>31</v>
      </c>
      <c r="I47" s="15" t="s">
        <v>266</v>
      </c>
      <c r="J47" s="9" t="s">
        <v>282</v>
      </c>
      <c r="K47" s="9" t="s">
        <v>283</v>
      </c>
      <c r="L47" s="9" t="s">
        <v>284</v>
      </c>
      <c r="M47" s="9" t="s">
        <v>285</v>
      </c>
      <c r="N47" s="9" t="s">
        <v>243</v>
      </c>
      <c r="O47" s="15" t="s">
        <v>17</v>
      </c>
      <c r="P47" s="15" t="s">
        <v>17</v>
      </c>
      <c r="Q47" s="9" t="s">
        <v>286</v>
      </c>
      <c r="R47" s="15" t="s">
        <v>73</v>
      </c>
    </row>
    <row r="48" spans="1:20" x14ac:dyDescent="0.25">
      <c r="A48" s="13" t="s">
        <v>287</v>
      </c>
      <c r="B48" s="6" t="s">
        <v>24</v>
      </c>
      <c r="C48" s="6" t="s">
        <v>288</v>
      </c>
      <c r="D48" s="6" t="s">
        <v>32</v>
      </c>
      <c r="E48" s="13" t="s">
        <v>91</v>
      </c>
      <c r="F48" s="13" t="s">
        <v>65</v>
      </c>
      <c r="G48" s="14">
        <f>=IF(F48="Completed", 1, IF(F48="In Progress", 0.5, IF(F48="Review", 0.8, 0)))</f>
        <v>0</v>
      </c>
      <c r="H48" s="13" t="s">
        <v>28</v>
      </c>
      <c r="I48" s="13" t="s">
        <v>266</v>
      </c>
      <c r="J48" s="6" t="s">
        <v>289</v>
      </c>
      <c r="K48" s="6" t="s">
        <v>290</v>
      </c>
      <c r="L48" s="6" t="s">
        <v>291</v>
      </c>
      <c r="M48" s="6" t="s">
        <v>292</v>
      </c>
      <c r="N48" s="6" t="s">
        <v>243</v>
      </c>
      <c r="O48" s="13" t="s">
        <v>17</v>
      </c>
      <c r="P48" s="13" t="s">
        <v>17</v>
      </c>
      <c r="Q48" s="6" t="s">
        <v>293</v>
      </c>
      <c r="R48" s="13" t="s">
        <v>73</v>
      </c>
    </row>
    <row r="49" spans="1:20" x14ac:dyDescent="0.25">
      <c r="A49" s="15" t="s">
        <v>294</v>
      </c>
      <c r="B49" s="9" t="s">
        <v>24</v>
      </c>
      <c r="C49" s="9" t="s">
        <v>295</v>
      </c>
      <c r="D49" s="9" t="s">
        <v>32</v>
      </c>
      <c r="E49" s="15" t="s">
        <v>64</v>
      </c>
      <c r="F49" s="15" t="s">
        <v>65</v>
      </c>
      <c r="G49" s="16">
        <f>=IF(F49="Completed", 1, IF(F49="In Progress", 0.5, IF(F49="Review", 0.8, 0)))</f>
        <v>0</v>
      </c>
      <c r="H49" s="15" t="s">
        <v>40</v>
      </c>
      <c r="I49" s="15" t="s">
        <v>245</v>
      </c>
      <c r="J49" s="9" t="s">
        <v>296</v>
      </c>
      <c r="K49" s="9" t="s">
        <v>297</v>
      </c>
      <c r="L49" s="9" t="s">
        <v>298</v>
      </c>
      <c r="M49" s="9" t="s">
        <v>299</v>
      </c>
      <c r="N49" s="9" t="s">
        <v>243</v>
      </c>
      <c r="O49" s="15" t="s">
        <v>17</v>
      </c>
      <c r="P49" s="15" t="s">
        <v>17</v>
      </c>
      <c r="Q49" s="9" t="s">
        <v>300</v>
      </c>
      <c r="R49" s="15" t="s">
        <v>73</v>
      </c>
    </row>
    <row r="50" spans="1:20" x14ac:dyDescent="0.25">
      <c r="A50" s="13" t="s">
        <v>301</v>
      </c>
      <c r="B50" s="6" t="s">
        <v>24</v>
      </c>
      <c r="C50" s="6" t="s">
        <v>302</v>
      </c>
      <c r="D50" s="6" t="s">
        <v>32</v>
      </c>
      <c r="E50" s="13" t="s">
        <v>107</v>
      </c>
      <c r="F50" s="13" t="s">
        <v>65</v>
      </c>
      <c r="G50" s="14">
        <f>=IF(F50="Completed", 1, IF(F50="In Progress", 0.5, IF(F50="Review", 0.8, 0)))</f>
        <v>0</v>
      </c>
      <c r="H50" s="13" t="s">
        <v>28</v>
      </c>
      <c r="I50" s="13" t="s">
        <v>237</v>
      </c>
      <c r="J50" s="6" t="s">
        <v>303</v>
      </c>
      <c r="K50" s="6" t="s">
        <v>304</v>
      </c>
      <c r="L50" s="6" t="s">
        <v>305</v>
      </c>
      <c r="M50" s="6" t="s">
        <v>306</v>
      </c>
      <c r="N50" s="6" t="s">
        <v>243</v>
      </c>
      <c r="O50" s="13" t="s">
        <v>17</v>
      </c>
      <c r="P50" s="13" t="s">
        <v>17</v>
      </c>
      <c r="Q50" s="6" t="s">
        <v>307</v>
      </c>
      <c r="R50" s="13" t="s">
        <v>73</v>
      </c>
    </row>
    <row r="51" spans="1:20" x14ac:dyDescent="0.25">
      <c r="A51" s="15" t="s">
        <v>308</v>
      </c>
      <c r="B51" s="9" t="s">
        <v>24</v>
      </c>
      <c r="C51" s="9" t="s">
        <v>309</v>
      </c>
      <c r="D51" s="9" t="s">
        <v>32</v>
      </c>
      <c r="E51" s="15" t="s">
        <v>64</v>
      </c>
      <c r="F51" s="15" t="s">
        <v>65</v>
      </c>
      <c r="G51" s="16">
        <f>=IF(F51="Completed", 1, IF(F51="In Progress", 0.5, IF(F51="Review", 0.8, 0)))</f>
        <v>0</v>
      </c>
      <c r="H51" s="15" t="s">
        <v>28</v>
      </c>
      <c r="I51" s="15" t="s">
        <v>237</v>
      </c>
      <c r="J51" s="9" t="s">
        <v>310</v>
      </c>
      <c r="K51" s="9" t="s">
        <v>311</v>
      </c>
      <c r="L51" s="9" t="s">
        <v>312</v>
      </c>
      <c r="M51" s="9" t="s">
        <v>313</v>
      </c>
      <c r="N51" s="9" t="s">
        <v>243</v>
      </c>
      <c r="O51" s="15" t="s">
        <v>17</v>
      </c>
      <c r="P51" s="15" t="s">
        <v>17</v>
      </c>
      <c r="Q51" s="9" t="s">
        <v>314</v>
      </c>
      <c r="R51" s="15" t="s">
        <v>73</v>
      </c>
    </row>
    <row r="52" spans="1:20" x14ac:dyDescent="0.25">
      <c r="A52" s="13" t="s">
        <v>315</v>
      </c>
      <c r="B52" s="6" t="s">
        <v>24</v>
      </c>
      <c r="C52" s="6" t="s">
        <v>316</v>
      </c>
      <c r="D52" s="6" t="s">
        <v>32</v>
      </c>
      <c r="E52" s="13" t="s">
        <v>64</v>
      </c>
      <c r="F52" s="13" t="s">
        <v>65</v>
      </c>
      <c r="G52" s="14">
        <f>=IF(F52="Completed", 1, IF(F52="In Progress", 0.5, IF(F52="Review", 0.8, 0)))</f>
        <v>0</v>
      </c>
      <c r="H52" s="13" t="s">
        <v>31</v>
      </c>
      <c r="I52" s="13" t="s">
        <v>287</v>
      </c>
      <c r="J52" s="6" t="s">
        <v>317</v>
      </c>
      <c r="K52" s="6" t="s">
        <v>318</v>
      </c>
      <c r="L52" s="6" t="s">
        <v>319</v>
      </c>
      <c r="M52" s="6" t="s">
        <v>320</v>
      </c>
      <c r="N52" s="6" t="s">
        <v>243</v>
      </c>
      <c r="O52" s="13" t="s">
        <v>17</v>
      </c>
      <c r="P52" s="13" t="s">
        <v>17</v>
      </c>
      <c r="Q52" s="6" t="s">
        <v>321</v>
      </c>
      <c r="R52" s="13" t="s">
        <v>166</v>
      </c>
    </row>
    <row r="53" spans="1:20" x14ac:dyDescent="0.25">
      <c r="A53" s="15" t="s">
        <v>322</v>
      </c>
      <c r="B53" s="9" t="s">
        <v>24</v>
      </c>
      <c r="C53" s="9" t="s">
        <v>323</v>
      </c>
      <c r="D53" s="9" t="s">
        <v>32</v>
      </c>
      <c r="E53" s="15" t="s">
        <v>107</v>
      </c>
      <c r="F53" s="15" t="s">
        <v>65</v>
      </c>
      <c r="G53" s="16">
        <f>=IF(F53="Completed", 1, IF(F53="In Progress", 0.5, IF(F53="Review", 0.8, 0)))</f>
        <v>0</v>
      </c>
      <c r="H53" s="15" t="s">
        <v>34</v>
      </c>
      <c r="I53" s="15" t="s">
        <v>287</v>
      </c>
      <c r="J53" s="9" t="s">
        <v>324</v>
      </c>
      <c r="K53" s="9" t="s">
        <v>325</v>
      </c>
      <c r="L53" s="9" t="s">
        <v>319</v>
      </c>
      <c r="M53" s="9" t="s">
        <v>326</v>
      </c>
      <c r="N53" s="9" t="s">
        <v>243</v>
      </c>
      <c r="O53" s="15" t="s">
        <v>17</v>
      </c>
      <c r="P53" s="15" t="s">
        <v>17</v>
      </c>
      <c r="Q53" s="9" t="s">
        <v>327</v>
      </c>
      <c r="R53" s="15" t="s">
        <v>166</v>
      </c>
    </row>
    <row r="54" spans="1:20" x14ac:dyDescent="0.25">
      <c r="A54" s="13" t="s">
        <v>328</v>
      </c>
      <c r="B54" s="6" t="s">
        <v>24</v>
      </c>
      <c r="C54" s="6" t="s">
        <v>329</v>
      </c>
      <c r="D54" s="6" t="s">
        <v>32</v>
      </c>
      <c r="E54" s="13" t="s">
        <v>107</v>
      </c>
      <c r="F54" s="13" t="s">
        <v>65</v>
      </c>
      <c r="G54" s="14">
        <f>=IF(F54="Completed", 1, IF(F54="In Progress", 0.5, IF(F54="Review", 0.8, 0)))</f>
        <v>0</v>
      </c>
      <c r="H54" s="13" t="s">
        <v>34</v>
      </c>
      <c r="I54" s="13" t="s">
        <v>315</v>
      </c>
      <c r="J54" s="6" t="s">
        <v>330</v>
      </c>
      <c r="K54" s="6" t="s">
        <v>331</v>
      </c>
      <c r="L54" s="6" t="s">
        <v>319</v>
      </c>
      <c r="M54" s="6" t="s">
        <v>332</v>
      </c>
      <c r="N54" s="6" t="s">
        <v>243</v>
      </c>
      <c r="O54" s="13" t="s">
        <v>17</v>
      </c>
      <c r="P54" s="13" t="s">
        <v>17</v>
      </c>
      <c r="Q54" s="6" t="s">
        <v>333</v>
      </c>
      <c r="R54" s="13" t="s">
        <v>166</v>
      </c>
    </row>
    <row r="55" spans="1:20" x14ac:dyDescent="0.25">
      <c r="A55" s="15" t="s">
        <v>334</v>
      </c>
      <c r="B55" s="9" t="s">
        <v>24</v>
      </c>
      <c r="C55" s="9" t="s">
        <v>335</v>
      </c>
      <c r="D55" s="9" t="s">
        <v>32</v>
      </c>
      <c r="E55" s="15" t="s">
        <v>64</v>
      </c>
      <c r="F55" s="15" t="s">
        <v>65</v>
      </c>
      <c r="G55" s="16">
        <f>=IF(F55="Completed", 1, IF(F55="In Progress", 0.5, IF(F55="Review", 0.8, 0)))</f>
        <v>0</v>
      </c>
      <c r="H55" s="15" t="s">
        <v>37</v>
      </c>
      <c r="I55" s="15" t="s">
        <v>287</v>
      </c>
      <c r="J55" s="9" t="s">
        <v>336</v>
      </c>
      <c r="K55" s="9" t="s">
        <v>337</v>
      </c>
      <c r="L55" s="9" t="s">
        <v>319</v>
      </c>
      <c r="M55" s="9" t="s">
        <v>338</v>
      </c>
      <c r="N55" s="9" t="s">
        <v>243</v>
      </c>
      <c r="O55" s="15" t="s">
        <v>17</v>
      </c>
      <c r="P55" s="15" t="s">
        <v>17</v>
      </c>
      <c r="Q55" s="9" t="s">
        <v>339</v>
      </c>
      <c r="R55" s="15" t="s">
        <v>166</v>
      </c>
    </row>
    <row r="56" spans="1:20" x14ac:dyDescent="0.25">
      <c r="A56" s="13" t="s">
        <v>340</v>
      </c>
      <c r="B56" s="6" t="s">
        <v>24</v>
      </c>
      <c r="C56" s="6" t="s">
        <v>341</v>
      </c>
      <c r="D56" s="6" t="s">
        <v>32</v>
      </c>
      <c r="E56" s="13" t="s">
        <v>64</v>
      </c>
      <c r="F56" s="13" t="s">
        <v>65</v>
      </c>
      <c r="G56" s="14">
        <f>=IF(F56="Completed", 1, IF(F56="In Progress", 0.5, IF(F56="Review", 0.8, 0)))</f>
        <v>0</v>
      </c>
      <c r="H56" s="13" t="s">
        <v>40</v>
      </c>
      <c r="I56" s="13" t="s">
        <v>287</v>
      </c>
      <c r="J56" s="6" t="s">
        <v>342</v>
      </c>
      <c r="K56" s="6" t="s">
        <v>343</v>
      </c>
      <c r="L56" s="6" t="s">
        <v>344</v>
      </c>
      <c r="M56" s="6" t="s">
        <v>345</v>
      </c>
      <c r="N56" s="6" t="s">
        <v>243</v>
      </c>
      <c r="O56" s="13" t="s">
        <v>17</v>
      </c>
      <c r="P56" s="13" t="s">
        <v>17</v>
      </c>
      <c r="Q56" s="6" t="s">
        <v>346</v>
      </c>
      <c r="R56" s="13" t="s">
        <v>73</v>
      </c>
    </row>
    <row r="57" spans="1:20" x14ac:dyDescent="0.25">
      <c r="A57" s="15" t="s">
        <v>347</v>
      </c>
      <c r="B57" s="9" t="s">
        <v>24</v>
      </c>
      <c r="C57" s="9" t="s">
        <v>348</v>
      </c>
      <c r="D57" s="9" t="s">
        <v>32</v>
      </c>
      <c r="E57" s="15" t="s">
        <v>107</v>
      </c>
      <c r="F57" s="15" t="s">
        <v>65</v>
      </c>
      <c r="G57" s="16">
        <f>=IF(F57="Completed", 1, IF(F57="In Progress", 0.5, IF(F57="Review", 0.8, 0)))</f>
        <v>0</v>
      </c>
      <c r="H57" s="15" t="s">
        <v>40</v>
      </c>
      <c r="I57" s="15" t="s">
        <v>237</v>
      </c>
      <c r="J57" s="9" t="s">
        <v>349</v>
      </c>
      <c r="K57" s="9" t="s">
        <v>350</v>
      </c>
      <c r="L57" s="9" t="s">
        <v>319</v>
      </c>
      <c r="M57" s="9" t="s">
        <v>351</v>
      </c>
      <c r="N57" s="9" t="s">
        <v>243</v>
      </c>
      <c r="O57" s="15" t="s">
        <v>17</v>
      </c>
      <c r="P57" s="15" t="s">
        <v>17</v>
      </c>
      <c r="Q57" s="9" t="s">
        <v>352</v>
      </c>
      <c r="R57" s="15" t="s">
        <v>73</v>
      </c>
    </row>
    <row r="58" spans="1:20" x14ac:dyDescent="0.25">
      <c r="A58" s="13" t="s">
        <v>353</v>
      </c>
      <c r="B58" s="6" t="s">
        <v>24</v>
      </c>
      <c r="C58" s="6" t="s">
        <v>354</v>
      </c>
      <c r="D58" s="6" t="s">
        <v>32</v>
      </c>
      <c r="E58" s="13" t="s">
        <v>64</v>
      </c>
      <c r="F58" s="13" t="s">
        <v>65</v>
      </c>
      <c r="G58" s="14">
        <f>=IF(F58="Completed", 1, IF(F58="In Progress", 0.5, IF(F58="Review", 0.8, 0)))</f>
        <v>0</v>
      </c>
      <c r="H58" s="13" t="s">
        <v>28</v>
      </c>
      <c r="I58" s="13" t="s">
        <v>237</v>
      </c>
      <c r="J58" s="6" t="s">
        <v>355</v>
      </c>
      <c r="K58" s="6" t="s">
        <v>356</v>
      </c>
      <c r="L58" s="6" t="s">
        <v>357</v>
      </c>
      <c r="M58" s="6" t="s">
        <v>358</v>
      </c>
      <c r="N58" s="6" t="s">
        <v>243</v>
      </c>
      <c r="O58" s="13" t="s">
        <v>17</v>
      </c>
      <c r="P58" s="13" t="s">
        <v>17</v>
      </c>
      <c r="Q58" s="6" t="s">
        <v>359</v>
      </c>
      <c r="R58" s="13" t="s">
        <v>73</v>
      </c>
    </row>
    <row r="59" spans="1:20" x14ac:dyDescent="0.25">
      <c r="A59" s="15" t="s">
        <v>360</v>
      </c>
      <c r="B59" s="9" t="s">
        <v>24</v>
      </c>
      <c r="C59" s="9" t="s">
        <v>361</v>
      </c>
      <c r="D59" s="9" t="s">
        <v>32</v>
      </c>
      <c r="E59" s="15" t="s">
        <v>362</v>
      </c>
      <c r="F59" s="15" t="s">
        <v>65</v>
      </c>
      <c r="G59" s="16">
        <f>=IF(F59="Completed", 1, IF(F59="In Progress", 0.5, IF(F59="Review", 0.8, 0)))</f>
        <v>0</v>
      </c>
      <c r="H59" s="15" t="s">
        <v>28</v>
      </c>
      <c r="I59" s="15" t="s">
        <v>237</v>
      </c>
      <c r="J59" s="9" t="s">
        <v>363</v>
      </c>
      <c r="K59" s="9" t="s">
        <v>364</v>
      </c>
      <c r="L59" s="9" t="s">
        <v>365</v>
      </c>
      <c r="M59" s="9" t="s">
        <v>366</v>
      </c>
      <c r="N59" s="9" t="s">
        <v>243</v>
      </c>
      <c r="O59" s="15" t="s">
        <v>17</v>
      </c>
      <c r="P59" s="15" t="s">
        <v>17</v>
      </c>
      <c r="Q59" s="9" t="s">
        <v>367</v>
      </c>
      <c r="R59" s="15" t="s">
        <v>73</v>
      </c>
    </row>
    <row r="60" spans="1:20" x14ac:dyDescent="0.25">
      <c r="A60" s="13" t="s">
        <v>368</v>
      </c>
      <c r="B60" s="6" t="s">
        <v>24</v>
      </c>
      <c r="C60" s="6" t="s">
        <v>369</v>
      </c>
      <c r="D60" s="6" t="s">
        <v>32</v>
      </c>
      <c r="E60" s="13" t="s">
        <v>107</v>
      </c>
      <c r="F60" s="13" t="s">
        <v>65</v>
      </c>
      <c r="G60" s="14">
        <f>=IF(F60="Completed", 1, IF(F60="In Progress", 0.5, IF(F60="Review", 0.8, 0)))</f>
        <v>0</v>
      </c>
      <c r="H60" s="13" t="s">
        <v>40</v>
      </c>
      <c r="I60" s="13" t="s">
        <v>237</v>
      </c>
      <c r="J60" s="6" t="s">
        <v>370</v>
      </c>
      <c r="K60" s="6" t="s">
        <v>371</v>
      </c>
      <c r="L60" s="6" t="s">
        <v>372</v>
      </c>
      <c r="M60" s="6" t="s">
        <v>373</v>
      </c>
      <c r="N60" s="6" t="s">
        <v>243</v>
      </c>
      <c r="O60" s="13" t="s">
        <v>17</v>
      </c>
      <c r="P60" s="13" t="s">
        <v>17</v>
      </c>
      <c r="Q60" s="6" t="s">
        <v>374</v>
      </c>
      <c r="R60" s="13" t="s">
        <v>73</v>
      </c>
    </row>
    <row r="61" spans="1:20" x14ac:dyDescent="0.25">
      <c r="A61" s="15" t="s">
        <v>375</v>
      </c>
      <c r="B61" s="9" t="s">
        <v>27</v>
      </c>
      <c r="C61" s="9" t="s">
        <v>376</v>
      </c>
      <c r="D61" s="9" t="s">
        <v>26</v>
      </c>
      <c r="E61" s="15" t="s">
        <v>64</v>
      </c>
      <c r="F61" s="15" t="s">
        <v>65</v>
      </c>
      <c r="G61" s="16">
        <f>=IF(F61="Completed", 1, IF(F61="In Progress", 0.5, IF(F61="Review", 0.8, 0)))</f>
        <v>0</v>
      </c>
      <c r="H61" s="15" t="s">
        <v>28</v>
      </c>
      <c r="I61" s="15" t="s">
        <v>66</v>
      </c>
      <c r="J61" s="9" t="s">
        <v>377</v>
      </c>
      <c r="K61" s="9" t="s">
        <v>378</v>
      </c>
      <c r="L61" s="9" t="s">
        <v>379</v>
      </c>
      <c r="M61" s="9" t="s">
        <v>380</v>
      </c>
      <c r="N61" s="9" t="s">
        <v>381</v>
      </c>
      <c r="O61" s="15" t="s">
        <v>17</v>
      </c>
      <c r="P61" s="15" t="s">
        <v>17</v>
      </c>
      <c r="Q61" s="9" t="s">
        <v>382</v>
      </c>
      <c r="R61" s="15" t="s">
        <v>73</v>
      </c>
    </row>
    <row r="62" spans="1:20" x14ac:dyDescent="0.25">
      <c r="A62" s="13" t="s">
        <v>383</v>
      </c>
      <c r="B62" s="6" t="s">
        <v>27</v>
      </c>
      <c r="C62" s="6" t="s">
        <v>384</v>
      </c>
      <c r="D62" s="6" t="s">
        <v>26</v>
      </c>
      <c r="E62" s="13" t="s">
        <v>64</v>
      </c>
      <c r="F62" s="13" t="s">
        <v>65</v>
      </c>
      <c r="G62" s="14">
        <f>=IF(F62="Completed", 1, IF(F62="In Progress", 0.5, IF(F62="Review", 0.8, 0)))</f>
        <v>0</v>
      </c>
      <c r="H62" s="13" t="s">
        <v>28</v>
      </c>
      <c r="I62" s="13" t="s">
        <v>375</v>
      </c>
      <c r="J62" s="6" t="s">
        <v>385</v>
      </c>
      <c r="K62" s="6" t="s">
        <v>386</v>
      </c>
      <c r="L62" s="6" t="s">
        <v>387</v>
      </c>
      <c r="M62" s="6" t="s">
        <v>388</v>
      </c>
      <c r="N62" s="6" t="s">
        <v>381</v>
      </c>
      <c r="O62" s="13" t="s">
        <v>17</v>
      </c>
      <c r="P62" s="13" t="s">
        <v>17</v>
      </c>
      <c r="Q62" s="6" t="s">
        <v>389</v>
      </c>
      <c r="R62" s="13" t="s">
        <v>73</v>
      </c>
    </row>
    <row r="63" spans="1:20" x14ac:dyDescent="0.25">
      <c r="A63" s="15" t="s">
        <v>390</v>
      </c>
      <c r="B63" s="9" t="s">
        <v>27</v>
      </c>
      <c r="C63" s="9" t="s">
        <v>391</v>
      </c>
      <c r="D63" s="9" t="s">
        <v>26</v>
      </c>
      <c r="E63" s="15" t="s">
        <v>107</v>
      </c>
      <c r="F63" s="15" t="s">
        <v>65</v>
      </c>
      <c r="G63" s="16">
        <f>=IF(F63="Completed", 1, IF(F63="In Progress", 0.5, IF(F63="Review", 0.8, 0)))</f>
        <v>0</v>
      </c>
      <c r="H63" s="15" t="s">
        <v>28</v>
      </c>
      <c r="I63" s="15" t="s">
        <v>375</v>
      </c>
      <c r="J63" s="9" t="s">
        <v>392</v>
      </c>
      <c r="K63" s="9" t="s">
        <v>393</v>
      </c>
      <c r="L63" s="9" t="s">
        <v>394</v>
      </c>
      <c r="M63" s="9" t="s">
        <v>395</v>
      </c>
      <c r="N63" s="9" t="s">
        <v>381</v>
      </c>
      <c r="O63" s="15" t="s">
        <v>17</v>
      </c>
      <c r="P63" s="15" t="s">
        <v>17</v>
      </c>
      <c r="Q63" s="9" t="s">
        <v>396</v>
      </c>
      <c r="R63" s="15" t="s">
        <v>73</v>
      </c>
    </row>
    <row r="64" spans="1:20" x14ac:dyDescent="0.25">
      <c r="A64" s="13" t="s">
        <v>397</v>
      </c>
      <c r="B64" s="6" t="s">
        <v>27</v>
      </c>
      <c r="C64" s="6" t="s">
        <v>398</v>
      </c>
      <c r="D64" s="6" t="s">
        <v>26</v>
      </c>
      <c r="E64" s="13" t="s">
        <v>64</v>
      </c>
      <c r="F64" s="13" t="s">
        <v>65</v>
      </c>
      <c r="G64" s="14">
        <f>=IF(F64="Completed", 1, IF(F64="In Progress", 0.5, IF(F64="Review", 0.8, 0)))</f>
        <v>0</v>
      </c>
      <c r="H64" s="13" t="s">
        <v>28</v>
      </c>
      <c r="I64" s="13" t="s">
        <v>390</v>
      </c>
      <c r="J64" s="6" t="s">
        <v>399</v>
      </c>
      <c r="K64" s="6" t="s">
        <v>400</v>
      </c>
      <c r="L64" s="6" t="s">
        <v>401</v>
      </c>
      <c r="M64" s="6" t="s">
        <v>402</v>
      </c>
      <c r="N64" s="6" t="s">
        <v>381</v>
      </c>
      <c r="O64" s="13" t="s">
        <v>17</v>
      </c>
      <c r="P64" s="13" t="s">
        <v>17</v>
      </c>
      <c r="Q64" s="6" t="s">
        <v>403</v>
      </c>
      <c r="R64" s="13" t="s">
        <v>73</v>
      </c>
    </row>
    <row r="65" spans="1:20" x14ac:dyDescent="0.25">
      <c r="A65" s="15" t="s">
        <v>404</v>
      </c>
      <c r="B65" s="9" t="s">
        <v>27</v>
      </c>
      <c r="C65" s="9" t="s">
        <v>405</v>
      </c>
      <c r="D65" s="9" t="s">
        <v>26</v>
      </c>
      <c r="E65" s="15" t="s">
        <v>64</v>
      </c>
      <c r="F65" s="15" t="s">
        <v>65</v>
      </c>
      <c r="G65" s="16">
        <f>=IF(F65="Completed", 1, IF(F65="In Progress", 0.5, IF(F65="Review", 0.8, 0)))</f>
        <v>0</v>
      </c>
      <c r="H65" s="15" t="s">
        <v>28</v>
      </c>
      <c r="I65" s="15" t="s">
        <v>375</v>
      </c>
      <c r="J65" s="9" t="s">
        <v>406</v>
      </c>
      <c r="K65" s="9" t="s">
        <v>407</v>
      </c>
      <c r="L65" s="9" t="s">
        <v>408</v>
      </c>
      <c r="M65" s="9" t="s">
        <v>409</v>
      </c>
      <c r="N65" s="9" t="s">
        <v>381</v>
      </c>
      <c r="O65" s="15" t="s">
        <v>17</v>
      </c>
      <c r="P65" s="15" t="s">
        <v>17</v>
      </c>
      <c r="Q65" s="9" t="s">
        <v>410</v>
      </c>
      <c r="R65" s="15" t="s">
        <v>73</v>
      </c>
    </row>
    <row r="66" spans="1:20" x14ac:dyDescent="0.25">
      <c r="A66" s="13" t="s">
        <v>411</v>
      </c>
      <c r="B66" s="6" t="s">
        <v>27</v>
      </c>
      <c r="C66" s="6" t="s">
        <v>412</v>
      </c>
      <c r="D66" s="6" t="s">
        <v>26</v>
      </c>
      <c r="E66" s="13" t="s">
        <v>64</v>
      </c>
      <c r="F66" s="13" t="s">
        <v>65</v>
      </c>
      <c r="G66" s="14">
        <f>=IF(F66="Completed", 1, IF(F66="In Progress", 0.5, IF(F66="Review", 0.8, 0)))</f>
        <v>0</v>
      </c>
      <c r="H66" s="13" t="s">
        <v>28</v>
      </c>
      <c r="I66" s="13" t="s">
        <v>404</v>
      </c>
      <c r="J66" s="6" t="s">
        <v>413</v>
      </c>
      <c r="K66" s="6" t="s">
        <v>414</v>
      </c>
      <c r="L66" s="6" t="s">
        <v>415</v>
      </c>
      <c r="M66" s="6" t="s">
        <v>416</v>
      </c>
      <c r="N66" s="6" t="s">
        <v>381</v>
      </c>
      <c r="O66" s="13" t="s">
        <v>17</v>
      </c>
      <c r="P66" s="13" t="s">
        <v>17</v>
      </c>
      <c r="Q66" s="6" t="s">
        <v>417</v>
      </c>
      <c r="R66" s="13" t="s">
        <v>73</v>
      </c>
    </row>
    <row r="67" spans="1:20" x14ac:dyDescent="0.25">
      <c r="A67" s="15" t="s">
        <v>418</v>
      </c>
      <c r="B67" s="9" t="s">
        <v>27</v>
      </c>
      <c r="C67" s="9" t="s">
        <v>419</v>
      </c>
      <c r="D67" s="9" t="s">
        <v>26</v>
      </c>
      <c r="E67" s="15" t="s">
        <v>64</v>
      </c>
      <c r="F67" s="15" t="s">
        <v>65</v>
      </c>
      <c r="G67" s="16">
        <f>=IF(F67="Completed", 1, IF(F67="In Progress", 0.5, IF(F67="Review", 0.8, 0)))</f>
        <v>0</v>
      </c>
      <c r="H67" s="15" t="s">
        <v>28</v>
      </c>
      <c r="I67" s="15" t="s">
        <v>66</v>
      </c>
      <c r="J67" s="9" t="s">
        <v>420</v>
      </c>
      <c r="K67" s="9" t="s">
        <v>421</v>
      </c>
      <c r="L67" s="9" t="s">
        <v>422</v>
      </c>
      <c r="M67" s="9" t="s">
        <v>423</v>
      </c>
      <c r="N67" s="9" t="s">
        <v>381</v>
      </c>
      <c r="O67" s="15" t="s">
        <v>17</v>
      </c>
      <c r="P67" s="15" t="s">
        <v>17</v>
      </c>
      <c r="Q67" s="9" t="s">
        <v>424</v>
      </c>
      <c r="R67" s="15" t="s">
        <v>73</v>
      </c>
    </row>
    <row r="68" spans="1:20" x14ac:dyDescent="0.25">
      <c r="A68" s="13" t="s">
        <v>425</v>
      </c>
      <c r="B68" s="6" t="s">
        <v>27</v>
      </c>
      <c r="C68" s="6" t="s">
        <v>426</v>
      </c>
      <c r="D68" s="6" t="s">
        <v>26</v>
      </c>
      <c r="E68" s="13" t="s">
        <v>64</v>
      </c>
      <c r="F68" s="13" t="s">
        <v>65</v>
      </c>
      <c r="G68" s="14">
        <f>=IF(F68="Completed", 1, IF(F68="In Progress", 0.5, IF(F68="Review", 0.8, 0)))</f>
        <v>0</v>
      </c>
      <c r="H68" s="13" t="s">
        <v>28</v>
      </c>
      <c r="I68" s="13" t="s">
        <v>418</v>
      </c>
      <c r="J68" s="6" t="s">
        <v>427</v>
      </c>
      <c r="K68" s="6" t="s">
        <v>428</v>
      </c>
      <c r="L68" s="6" t="s">
        <v>429</v>
      </c>
      <c r="M68" s="6" t="s">
        <v>430</v>
      </c>
      <c r="N68" s="6" t="s">
        <v>381</v>
      </c>
      <c r="O68" s="13" t="s">
        <v>17</v>
      </c>
      <c r="P68" s="13" t="s">
        <v>17</v>
      </c>
      <c r="Q68" s="6" t="s">
        <v>431</v>
      </c>
      <c r="R68" s="13" t="s">
        <v>73</v>
      </c>
    </row>
    <row r="69" spans="1:20" x14ac:dyDescent="0.25">
      <c r="A69" s="15" t="s">
        <v>432</v>
      </c>
      <c r="B69" s="9" t="s">
        <v>27</v>
      </c>
      <c r="C69" s="9" t="s">
        <v>433</v>
      </c>
      <c r="D69" s="9" t="s">
        <v>26</v>
      </c>
      <c r="E69" s="15" t="s">
        <v>64</v>
      </c>
      <c r="F69" s="15" t="s">
        <v>65</v>
      </c>
      <c r="G69" s="16">
        <f>=IF(F69="Completed", 1, IF(F69="In Progress", 0.5, IF(F69="Review", 0.8, 0)))</f>
        <v>0</v>
      </c>
      <c r="H69" s="15" t="s">
        <v>31</v>
      </c>
      <c r="I69" s="15" t="s">
        <v>411</v>
      </c>
      <c r="J69" s="9" t="s">
        <v>434</v>
      </c>
      <c r="K69" s="9" t="s">
        <v>435</v>
      </c>
      <c r="L69" s="9" t="s">
        <v>436</v>
      </c>
      <c r="M69" s="9" t="s">
        <v>437</v>
      </c>
      <c r="N69" s="9" t="s">
        <v>381</v>
      </c>
      <c r="O69" s="15" t="s">
        <v>17</v>
      </c>
      <c r="P69" s="15" t="s">
        <v>17</v>
      </c>
      <c r="Q69" s="9" t="s">
        <v>438</v>
      </c>
      <c r="R69" s="15" t="s">
        <v>166</v>
      </c>
    </row>
    <row r="70" spans="1:20" x14ac:dyDescent="0.25">
      <c r="A70" s="13" t="s">
        <v>439</v>
      </c>
      <c r="B70" s="6" t="s">
        <v>27</v>
      </c>
      <c r="C70" s="6" t="s">
        <v>440</v>
      </c>
      <c r="D70" s="6" t="s">
        <v>26</v>
      </c>
      <c r="E70" s="13" t="s">
        <v>64</v>
      </c>
      <c r="F70" s="13" t="s">
        <v>65</v>
      </c>
      <c r="G70" s="14">
        <f>=IF(F70="Completed", 1, IF(F70="In Progress", 0.5, IF(F70="Review", 0.8, 0)))</f>
        <v>0</v>
      </c>
      <c r="H70" s="13" t="s">
        <v>31</v>
      </c>
      <c r="I70" s="13" t="s">
        <v>411</v>
      </c>
      <c r="J70" s="6" t="s">
        <v>441</v>
      </c>
      <c r="K70" s="6" t="s">
        <v>442</v>
      </c>
      <c r="L70" s="6" t="s">
        <v>443</v>
      </c>
      <c r="M70" s="6" t="s">
        <v>444</v>
      </c>
      <c r="N70" s="6" t="s">
        <v>381</v>
      </c>
      <c r="O70" s="13" t="s">
        <v>17</v>
      </c>
      <c r="P70" s="13" t="s">
        <v>17</v>
      </c>
      <c r="Q70" s="6" t="s">
        <v>445</v>
      </c>
      <c r="R70" s="13" t="s">
        <v>166</v>
      </c>
    </row>
    <row r="71" spans="1:20" x14ac:dyDescent="0.25">
      <c r="A71" s="15" t="s">
        <v>446</v>
      </c>
      <c r="B71" s="9" t="s">
        <v>27</v>
      </c>
      <c r="C71" s="9" t="s">
        <v>447</v>
      </c>
      <c r="D71" s="9" t="s">
        <v>26</v>
      </c>
      <c r="E71" s="15" t="s">
        <v>64</v>
      </c>
      <c r="F71" s="15" t="s">
        <v>65</v>
      </c>
      <c r="G71" s="16">
        <f>=IF(F71="Completed", 1, IF(F71="In Progress", 0.5, IF(F71="Review", 0.8, 0)))</f>
        <v>0</v>
      </c>
      <c r="H71" s="15" t="s">
        <v>31</v>
      </c>
      <c r="I71" s="15" t="s">
        <v>439</v>
      </c>
      <c r="J71" s="9" t="s">
        <v>448</v>
      </c>
      <c r="K71" s="9" t="s">
        <v>449</v>
      </c>
      <c r="L71" s="9" t="s">
        <v>450</v>
      </c>
      <c r="M71" s="9" t="s">
        <v>451</v>
      </c>
      <c r="N71" s="9" t="s">
        <v>381</v>
      </c>
      <c r="O71" s="15" t="s">
        <v>17</v>
      </c>
      <c r="P71" s="15" t="s">
        <v>17</v>
      </c>
      <c r="Q71" s="9" t="s">
        <v>452</v>
      </c>
      <c r="R71" s="15" t="s">
        <v>166</v>
      </c>
    </row>
    <row r="72" spans="1:20" x14ac:dyDescent="0.25">
      <c r="A72" s="13" t="s">
        <v>453</v>
      </c>
      <c r="B72" s="6" t="s">
        <v>27</v>
      </c>
      <c r="C72" s="6" t="s">
        <v>454</v>
      </c>
      <c r="D72" s="6" t="s">
        <v>26</v>
      </c>
      <c r="E72" s="13" t="s">
        <v>107</v>
      </c>
      <c r="F72" s="13" t="s">
        <v>65</v>
      </c>
      <c r="G72" s="14">
        <f>=IF(F72="Completed", 1, IF(F72="In Progress", 0.5, IF(F72="Review", 0.8, 0)))</f>
        <v>0</v>
      </c>
      <c r="H72" s="13" t="s">
        <v>34</v>
      </c>
      <c r="I72" s="13" t="s">
        <v>425</v>
      </c>
      <c r="J72" s="6" t="s">
        <v>455</v>
      </c>
      <c r="K72" s="6" t="s">
        <v>456</v>
      </c>
      <c r="L72" s="6" t="s">
        <v>457</v>
      </c>
      <c r="M72" s="6" t="s">
        <v>458</v>
      </c>
      <c r="N72" s="6" t="s">
        <v>381</v>
      </c>
      <c r="O72" s="13" t="s">
        <v>17</v>
      </c>
      <c r="P72" s="13" t="s">
        <v>17</v>
      </c>
      <c r="Q72" s="6" t="s">
        <v>459</v>
      </c>
      <c r="R72" s="13" t="s">
        <v>166</v>
      </c>
    </row>
    <row r="73" spans="1:20" x14ac:dyDescent="0.25">
      <c r="A73" s="15" t="s">
        <v>460</v>
      </c>
      <c r="B73" s="9" t="s">
        <v>27</v>
      </c>
      <c r="C73" s="9" t="s">
        <v>461</v>
      </c>
      <c r="D73" s="9" t="s">
        <v>26</v>
      </c>
      <c r="E73" s="15" t="s">
        <v>107</v>
      </c>
      <c r="F73" s="15" t="s">
        <v>65</v>
      </c>
      <c r="G73" s="16">
        <f>=IF(F73="Completed", 1, IF(F73="In Progress", 0.5, IF(F73="Review", 0.8, 0)))</f>
        <v>0</v>
      </c>
      <c r="H73" s="15" t="s">
        <v>34</v>
      </c>
      <c r="I73" s="15" t="s">
        <v>446</v>
      </c>
      <c r="J73" s="9" t="s">
        <v>462</v>
      </c>
      <c r="K73" s="9" t="s">
        <v>463</v>
      </c>
      <c r="L73" s="9" t="s">
        <v>464</v>
      </c>
      <c r="M73" s="9" t="s">
        <v>465</v>
      </c>
      <c r="N73" s="9" t="s">
        <v>381</v>
      </c>
      <c r="O73" s="15" t="s">
        <v>17</v>
      </c>
      <c r="P73" s="15" t="s">
        <v>17</v>
      </c>
      <c r="Q73" s="9" t="s">
        <v>466</v>
      </c>
      <c r="R73" s="15" t="s">
        <v>166</v>
      </c>
    </row>
    <row r="74" spans="1:20" x14ac:dyDescent="0.25">
      <c r="A74" s="13" t="s">
        <v>467</v>
      </c>
      <c r="B74" s="6" t="s">
        <v>27</v>
      </c>
      <c r="C74" s="6" t="s">
        <v>468</v>
      </c>
      <c r="D74" s="6" t="s">
        <v>26</v>
      </c>
      <c r="E74" s="13" t="s">
        <v>64</v>
      </c>
      <c r="F74" s="13" t="s">
        <v>65</v>
      </c>
      <c r="G74" s="14">
        <f>=IF(F74="Completed", 1, IF(F74="In Progress", 0.5, IF(F74="Review", 0.8, 0)))</f>
        <v>0</v>
      </c>
      <c r="H74" s="13" t="s">
        <v>37</v>
      </c>
      <c r="I74" s="13" t="s">
        <v>411</v>
      </c>
      <c r="J74" s="6" t="s">
        <v>469</v>
      </c>
      <c r="K74" s="6" t="s">
        <v>470</v>
      </c>
      <c r="L74" s="6" t="s">
        <v>471</v>
      </c>
      <c r="M74" s="6" t="s">
        <v>472</v>
      </c>
      <c r="N74" s="6" t="s">
        <v>381</v>
      </c>
      <c r="O74" s="13" t="s">
        <v>17</v>
      </c>
      <c r="P74" s="13" t="s">
        <v>17</v>
      </c>
      <c r="Q74" s="6" t="s">
        <v>473</v>
      </c>
      <c r="R74" s="13" t="s">
        <v>166</v>
      </c>
    </row>
    <row r="75" spans="1:20" x14ac:dyDescent="0.25">
      <c r="A75" s="15" t="s">
        <v>474</v>
      </c>
      <c r="B75" s="9" t="s">
        <v>27</v>
      </c>
      <c r="C75" s="9" t="s">
        <v>475</v>
      </c>
      <c r="D75" s="9" t="s">
        <v>26</v>
      </c>
      <c r="E75" s="15" t="s">
        <v>64</v>
      </c>
      <c r="F75" s="15" t="s">
        <v>65</v>
      </c>
      <c r="G75" s="16">
        <f>=IF(F75="Completed", 1, IF(F75="In Progress", 0.5, IF(F75="Review", 0.8, 0)))</f>
        <v>0</v>
      </c>
      <c r="H75" s="15" t="s">
        <v>37</v>
      </c>
      <c r="I75" s="15" t="s">
        <v>467</v>
      </c>
      <c r="J75" s="9" t="s">
        <v>476</v>
      </c>
      <c r="K75" s="9" t="s">
        <v>477</v>
      </c>
      <c r="L75" s="9" t="s">
        <v>478</v>
      </c>
      <c r="M75" s="9" t="s">
        <v>479</v>
      </c>
      <c r="N75" s="9" t="s">
        <v>381</v>
      </c>
      <c r="O75" s="15" t="s">
        <v>17</v>
      </c>
      <c r="P75" s="15" t="s">
        <v>17</v>
      </c>
      <c r="Q75" s="9" t="s">
        <v>480</v>
      </c>
      <c r="R75" s="15" t="s">
        <v>166</v>
      </c>
    </row>
    <row r="76" spans="1:20" x14ac:dyDescent="0.25">
      <c r="A76" s="13" t="s">
        <v>481</v>
      </c>
      <c r="B76" s="6" t="s">
        <v>27</v>
      </c>
      <c r="C76" s="6" t="s">
        <v>482</v>
      </c>
      <c r="D76" s="6" t="s">
        <v>26</v>
      </c>
      <c r="E76" s="13" t="s">
        <v>107</v>
      </c>
      <c r="F76" s="13" t="s">
        <v>65</v>
      </c>
      <c r="G76" s="14">
        <f>=IF(F76="Completed", 1, IF(F76="In Progress", 0.5, IF(F76="Review", 0.8, 0)))</f>
        <v>0</v>
      </c>
      <c r="H76" s="13" t="s">
        <v>37</v>
      </c>
      <c r="I76" s="13" t="s">
        <v>425</v>
      </c>
      <c r="J76" s="6" t="s">
        <v>483</v>
      </c>
      <c r="K76" s="6" t="s">
        <v>484</v>
      </c>
      <c r="L76" s="6" t="s">
        <v>485</v>
      </c>
      <c r="M76" s="6" t="s">
        <v>486</v>
      </c>
      <c r="N76" s="6" t="s">
        <v>381</v>
      </c>
      <c r="O76" s="13" t="s">
        <v>17</v>
      </c>
      <c r="P76" s="13" t="s">
        <v>17</v>
      </c>
      <c r="Q76" s="6" t="s">
        <v>487</v>
      </c>
      <c r="R76" s="13" t="s">
        <v>166</v>
      </c>
    </row>
    <row r="77" spans="1:20" x14ac:dyDescent="0.25">
      <c r="A77" s="15" t="s">
        <v>488</v>
      </c>
      <c r="B77" s="9" t="s">
        <v>27</v>
      </c>
      <c r="C77" s="9" t="s">
        <v>489</v>
      </c>
      <c r="D77" s="9" t="s">
        <v>26</v>
      </c>
      <c r="E77" s="15" t="s">
        <v>64</v>
      </c>
      <c r="F77" s="15" t="s">
        <v>65</v>
      </c>
      <c r="G77" s="16">
        <f>=IF(F77="Completed", 1, IF(F77="In Progress", 0.5, IF(F77="Review", 0.8, 0)))</f>
        <v>0</v>
      </c>
      <c r="H77" s="15" t="s">
        <v>40</v>
      </c>
      <c r="I77" s="15" t="s">
        <v>411</v>
      </c>
      <c r="J77" s="9" t="s">
        <v>490</v>
      </c>
      <c r="K77" s="9" t="s">
        <v>491</v>
      </c>
      <c r="L77" s="9" t="s">
        <v>492</v>
      </c>
      <c r="M77" s="9" t="s">
        <v>493</v>
      </c>
      <c r="N77" s="9" t="s">
        <v>381</v>
      </c>
      <c r="O77" s="15" t="s">
        <v>17</v>
      </c>
      <c r="P77" s="15" t="s">
        <v>17</v>
      </c>
      <c r="Q77" s="9" t="s">
        <v>494</v>
      </c>
      <c r="R77" s="15" t="s">
        <v>166</v>
      </c>
    </row>
    <row r="78" spans="1:20" x14ac:dyDescent="0.25">
      <c r="A78" s="13" t="s">
        <v>495</v>
      </c>
      <c r="B78" s="6" t="s">
        <v>27</v>
      </c>
      <c r="C78" s="6" t="s">
        <v>496</v>
      </c>
      <c r="D78" s="6" t="s">
        <v>26</v>
      </c>
      <c r="E78" s="13" t="s">
        <v>107</v>
      </c>
      <c r="F78" s="13" t="s">
        <v>65</v>
      </c>
      <c r="G78" s="14">
        <f>=IF(F78="Completed", 1, IF(F78="In Progress", 0.5, IF(F78="Review", 0.8, 0)))</f>
        <v>0</v>
      </c>
      <c r="H78" s="13" t="s">
        <v>40</v>
      </c>
      <c r="I78" s="13" t="s">
        <v>425</v>
      </c>
      <c r="J78" s="6" t="s">
        <v>497</v>
      </c>
      <c r="K78" s="6" t="s">
        <v>498</v>
      </c>
      <c r="L78" s="6" t="s">
        <v>499</v>
      </c>
      <c r="M78" s="6" t="s">
        <v>500</v>
      </c>
      <c r="N78" s="6" t="s">
        <v>381</v>
      </c>
      <c r="O78" s="13" t="s">
        <v>17</v>
      </c>
      <c r="P78" s="13" t="s">
        <v>17</v>
      </c>
      <c r="Q78" s="6" t="s">
        <v>501</v>
      </c>
      <c r="R78" s="13" t="s">
        <v>73</v>
      </c>
    </row>
    <row r="79" spans="1:20" x14ac:dyDescent="0.25">
      <c r="A79" s="15" t="s">
        <v>502</v>
      </c>
      <c r="B79" s="9" t="s">
        <v>27</v>
      </c>
      <c r="C79" s="9" t="s">
        <v>503</v>
      </c>
      <c r="D79" s="9" t="s">
        <v>26</v>
      </c>
      <c r="E79" s="15" t="s">
        <v>107</v>
      </c>
      <c r="F79" s="15" t="s">
        <v>65</v>
      </c>
      <c r="G79" s="16">
        <f>=IF(F79="Completed", 1, IF(F79="In Progress", 0.5, IF(F79="Review", 0.8, 0)))</f>
        <v>0</v>
      </c>
      <c r="H79" s="15" t="s">
        <v>28</v>
      </c>
      <c r="I79" s="15" t="s">
        <v>383</v>
      </c>
      <c r="J79" s="9" t="s">
        <v>504</v>
      </c>
      <c r="K79" s="9" t="s">
        <v>505</v>
      </c>
      <c r="L79" s="9" t="s">
        <v>506</v>
      </c>
      <c r="M79" s="9" t="s">
        <v>507</v>
      </c>
      <c r="N79" s="9" t="s">
        <v>381</v>
      </c>
      <c r="O79" s="15" t="s">
        <v>17</v>
      </c>
      <c r="P79" s="15" t="s">
        <v>17</v>
      </c>
      <c r="Q79" s="9" t="s">
        <v>508</v>
      </c>
      <c r="R79" s="15" t="s">
        <v>73</v>
      </c>
    </row>
    <row r="80" spans="1:20" x14ac:dyDescent="0.25">
      <c r="A80" s="13" t="s">
        <v>509</v>
      </c>
      <c r="B80" s="6" t="s">
        <v>27</v>
      </c>
      <c r="C80" s="6" t="s">
        <v>510</v>
      </c>
      <c r="D80" s="6" t="s">
        <v>26</v>
      </c>
      <c r="E80" s="13" t="s">
        <v>107</v>
      </c>
      <c r="F80" s="13" t="s">
        <v>65</v>
      </c>
      <c r="G80" s="14">
        <f>=IF(F80="Completed", 1, IF(F80="In Progress", 0.5, IF(F80="Review", 0.8, 0)))</f>
        <v>0</v>
      </c>
      <c r="H80" s="13" t="s">
        <v>42</v>
      </c>
      <c r="I80" s="13" t="s">
        <v>397</v>
      </c>
      <c r="J80" s="6" t="s">
        <v>511</v>
      </c>
      <c r="K80" s="6" t="s">
        <v>512</v>
      </c>
      <c r="L80" s="6" t="s">
        <v>513</v>
      </c>
      <c r="M80" s="6" t="s">
        <v>514</v>
      </c>
      <c r="N80" s="6" t="s">
        <v>381</v>
      </c>
      <c r="O80" s="13" t="s">
        <v>17</v>
      </c>
      <c r="P80" s="13" t="s">
        <v>17</v>
      </c>
      <c r="Q80" s="6" t="s">
        <v>515</v>
      </c>
      <c r="R80" s="13" t="s">
        <v>73</v>
      </c>
    </row>
    <row r="81" spans="1:20" x14ac:dyDescent="0.25">
      <c r="A81" s="15" t="s">
        <v>516</v>
      </c>
      <c r="B81" s="9" t="s">
        <v>27</v>
      </c>
      <c r="C81" s="9" t="s">
        <v>517</v>
      </c>
      <c r="D81" s="9" t="s">
        <v>26</v>
      </c>
      <c r="E81" s="15" t="s">
        <v>64</v>
      </c>
      <c r="F81" s="15" t="s">
        <v>65</v>
      </c>
      <c r="G81" s="16">
        <f>=IF(F81="Completed", 1, IF(F81="In Progress", 0.5, IF(F81="Review", 0.8, 0)))</f>
        <v>0</v>
      </c>
      <c r="H81" s="15" t="s">
        <v>40</v>
      </c>
      <c r="I81" s="15" t="s">
        <v>425</v>
      </c>
      <c r="J81" s="9" t="s">
        <v>518</v>
      </c>
      <c r="K81" s="9" t="s">
        <v>519</v>
      </c>
      <c r="L81" s="9" t="s">
        <v>520</v>
      </c>
      <c r="M81" s="9" t="s">
        <v>521</v>
      </c>
      <c r="N81" s="9" t="s">
        <v>381</v>
      </c>
      <c r="O81" s="15" t="s">
        <v>17</v>
      </c>
      <c r="P81" s="15" t="s">
        <v>17</v>
      </c>
      <c r="Q81" s="9" t="s">
        <v>522</v>
      </c>
      <c r="R81" s="15" t="s">
        <v>73</v>
      </c>
    </row>
    <row r="82" spans="1:20" x14ac:dyDescent="0.25">
      <c r="A82" s="13" t="s">
        <v>523</v>
      </c>
      <c r="B82" s="6" t="s">
        <v>27</v>
      </c>
      <c r="C82" s="6" t="s">
        <v>524</v>
      </c>
      <c r="D82" s="6" t="s">
        <v>26</v>
      </c>
      <c r="E82" s="13" t="s">
        <v>362</v>
      </c>
      <c r="F82" s="13" t="s">
        <v>65</v>
      </c>
      <c r="G82" s="14">
        <f>=IF(F82="Completed", 1, IF(F82="In Progress", 0.5, IF(F82="Review", 0.8, 0)))</f>
        <v>0</v>
      </c>
      <c r="H82" s="13" t="s">
        <v>28</v>
      </c>
      <c r="I82" s="13" t="s">
        <v>375</v>
      </c>
      <c r="J82" s="6" t="s">
        <v>525</v>
      </c>
      <c r="K82" s="6" t="s">
        <v>526</v>
      </c>
      <c r="L82" s="6" t="s">
        <v>527</v>
      </c>
      <c r="M82" s="6" t="s">
        <v>528</v>
      </c>
      <c r="N82" s="6" t="s">
        <v>381</v>
      </c>
      <c r="O82" s="13" t="s">
        <v>17</v>
      </c>
      <c r="P82" s="13" t="s">
        <v>17</v>
      </c>
      <c r="Q82" s="6" t="s">
        <v>529</v>
      </c>
      <c r="R82" s="13" t="s">
        <v>73</v>
      </c>
    </row>
    <row r="83" spans="1:20" x14ac:dyDescent="0.25">
      <c r="A83" s="15" t="s">
        <v>530</v>
      </c>
      <c r="B83" s="9" t="s">
        <v>27</v>
      </c>
      <c r="C83" s="9" t="s">
        <v>531</v>
      </c>
      <c r="D83" s="9" t="s">
        <v>26</v>
      </c>
      <c r="E83" s="15" t="s">
        <v>362</v>
      </c>
      <c r="F83" s="15" t="s">
        <v>65</v>
      </c>
      <c r="G83" s="16">
        <f>=IF(F83="Completed", 1, IF(F83="In Progress", 0.5, IF(F83="Review", 0.8, 0)))</f>
        <v>0</v>
      </c>
      <c r="H83" s="15" t="s">
        <v>28</v>
      </c>
      <c r="I83" s="15" t="s">
        <v>375</v>
      </c>
      <c r="J83" s="9" t="s">
        <v>532</v>
      </c>
      <c r="K83" s="9" t="s">
        <v>533</v>
      </c>
      <c r="L83" s="9" t="s">
        <v>534</v>
      </c>
      <c r="M83" s="9" t="s">
        <v>535</v>
      </c>
      <c r="N83" s="9" t="s">
        <v>381</v>
      </c>
      <c r="O83" s="15" t="s">
        <v>17</v>
      </c>
      <c r="P83" s="15" t="s">
        <v>17</v>
      </c>
      <c r="Q83" s="9" t="s">
        <v>536</v>
      </c>
      <c r="R83" s="15" t="s">
        <v>73</v>
      </c>
    </row>
    <row r="84" spans="1:20" x14ac:dyDescent="0.25">
      <c r="A84" s="13" t="s">
        <v>537</v>
      </c>
      <c r="B84" s="6" t="s">
        <v>27</v>
      </c>
      <c r="C84" s="6" t="s">
        <v>538</v>
      </c>
      <c r="D84" s="6" t="s">
        <v>26</v>
      </c>
      <c r="E84" s="13" t="s">
        <v>64</v>
      </c>
      <c r="F84" s="13" t="s">
        <v>65</v>
      </c>
      <c r="G84" s="14">
        <f>=IF(F84="Completed", 1, IF(F84="In Progress", 0.5, IF(F84="Review", 0.8, 0)))</f>
        <v>0</v>
      </c>
      <c r="H84" s="13" t="s">
        <v>129</v>
      </c>
      <c r="I84" s="13" t="s">
        <v>516</v>
      </c>
      <c r="J84" s="6" t="s">
        <v>539</v>
      </c>
      <c r="K84" s="6" t="s">
        <v>540</v>
      </c>
      <c r="L84" s="6" t="s">
        <v>541</v>
      </c>
      <c r="M84" s="6" t="s">
        <v>542</v>
      </c>
      <c r="N84" s="6" t="s">
        <v>381</v>
      </c>
      <c r="O84" s="13" t="s">
        <v>17</v>
      </c>
      <c r="P84" s="13" t="s">
        <v>17</v>
      </c>
      <c r="Q84" s="6" t="s">
        <v>543</v>
      </c>
      <c r="R84" s="13" t="s">
        <v>73</v>
      </c>
    </row>
    <row r="85" spans="1:20" x14ac:dyDescent="0.25">
      <c r="A85" s="15" t="s">
        <v>544</v>
      </c>
      <c r="B85" s="9" t="s">
        <v>33</v>
      </c>
      <c r="C85" s="9" t="s">
        <v>545</v>
      </c>
      <c r="D85" s="9" t="s">
        <v>38</v>
      </c>
      <c r="E85" s="15" t="s">
        <v>64</v>
      </c>
      <c r="F85" s="15" t="s">
        <v>65</v>
      </c>
      <c r="G85" s="16">
        <f>=IF(F85="Completed", 1, IF(F85="In Progress", 0.5, IF(F85="Review", 0.8, 0)))</f>
        <v>0</v>
      </c>
      <c r="H85" s="15" t="s">
        <v>37</v>
      </c>
      <c r="I85" s="15" t="s">
        <v>66</v>
      </c>
      <c r="J85" s="9" t="s">
        <v>546</v>
      </c>
      <c r="K85" s="9" t="s">
        <v>547</v>
      </c>
      <c r="L85" s="9" t="s">
        <v>548</v>
      </c>
      <c r="M85" s="9" t="s">
        <v>549</v>
      </c>
      <c r="N85" s="9" t="s">
        <v>550</v>
      </c>
      <c r="O85" s="15" t="s">
        <v>17</v>
      </c>
      <c r="P85" s="15" t="s">
        <v>17</v>
      </c>
      <c r="Q85" s="9" t="s">
        <v>551</v>
      </c>
      <c r="R85" s="15" t="s">
        <v>73</v>
      </c>
    </row>
    <row r="86" spans="1:20" x14ac:dyDescent="0.25">
      <c r="A86" s="13" t="s">
        <v>552</v>
      </c>
      <c r="B86" s="6" t="s">
        <v>33</v>
      </c>
      <c r="C86" s="6" t="s">
        <v>553</v>
      </c>
      <c r="D86" s="6" t="s">
        <v>38</v>
      </c>
      <c r="E86" s="13" t="s">
        <v>107</v>
      </c>
      <c r="F86" s="13" t="s">
        <v>65</v>
      </c>
      <c r="G86" s="14">
        <f>=IF(F86="Completed", 1, IF(F86="In Progress", 0.5, IF(F86="Review", 0.8, 0)))</f>
        <v>0</v>
      </c>
      <c r="H86" s="13" t="s">
        <v>37</v>
      </c>
      <c r="I86" s="13" t="s">
        <v>544</v>
      </c>
      <c r="J86" s="6" t="s">
        <v>554</v>
      </c>
      <c r="K86" s="6" t="s">
        <v>555</v>
      </c>
      <c r="L86" s="6" t="s">
        <v>556</v>
      </c>
      <c r="M86" s="6" t="s">
        <v>557</v>
      </c>
      <c r="N86" s="6" t="s">
        <v>550</v>
      </c>
      <c r="O86" s="13" t="s">
        <v>17</v>
      </c>
      <c r="P86" s="13" t="s">
        <v>17</v>
      </c>
      <c r="Q86" s="6" t="s">
        <v>558</v>
      </c>
      <c r="R86" s="13" t="s">
        <v>73</v>
      </c>
    </row>
    <row r="87" spans="1:20" x14ac:dyDescent="0.25">
      <c r="A87" s="15" t="s">
        <v>559</v>
      </c>
      <c r="B87" s="9" t="s">
        <v>33</v>
      </c>
      <c r="C87" s="9" t="s">
        <v>560</v>
      </c>
      <c r="D87" s="9" t="s">
        <v>38</v>
      </c>
      <c r="E87" s="15" t="s">
        <v>64</v>
      </c>
      <c r="F87" s="15" t="s">
        <v>65</v>
      </c>
      <c r="G87" s="16">
        <f>=IF(F87="Completed", 1, IF(F87="In Progress", 0.5, IF(F87="Review", 0.8, 0)))</f>
        <v>0</v>
      </c>
      <c r="H87" s="15" t="s">
        <v>37</v>
      </c>
      <c r="I87" s="15" t="s">
        <v>544</v>
      </c>
      <c r="J87" s="9" t="s">
        <v>561</v>
      </c>
      <c r="K87" s="9" t="s">
        <v>562</v>
      </c>
      <c r="L87" s="9" t="s">
        <v>319</v>
      </c>
      <c r="M87" s="9" t="s">
        <v>563</v>
      </c>
      <c r="N87" s="9" t="s">
        <v>550</v>
      </c>
      <c r="O87" s="15" t="s">
        <v>17</v>
      </c>
      <c r="P87" s="15" t="s">
        <v>17</v>
      </c>
      <c r="Q87" s="9" t="s">
        <v>564</v>
      </c>
      <c r="R87" s="15" t="s">
        <v>166</v>
      </c>
    </row>
    <row r="88" spans="1:20" x14ac:dyDescent="0.25">
      <c r="A88" s="13" t="s">
        <v>565</v>
      </c>
      <c r="B88" s="6" t="s">
        <v>33</v>
      </c>
      <c r="C88" s="6" t="s">
        <v>566</v>
      </c>
      <c r="D88" s="6" t="s">
        <v>38</v>
      </c>
      <c r="E88" s="13" t="s">
        <v>107</v>
      </c>
      <c r="F88" s="13" t="s">
        <v>65</v>
      </c>
      <c r="G88" s="14">
        <f>=IF(F88="Completed", 1, IF(F88="In Progress", 0.5, IF(F88="Review", 0.8, 0)))</f>
        <v>0</v>
      </c>
      <c r="H88" s="13" t="s">
        <v>40</v>
      </c>
      <c r="I88" s="13" t="s">
        <v>66</v>
      </c>
      <c r="J88" s="6" t="s">
        <v>567</v>
      </c>
      <c r="K88" s="6" t="s">
        <v>568</v>
      </c>
      <c r="L88" s="6" t="s">
        <v>569</v>
      </c>
      <c r="M88" s="6" t="s">
        <v>570</v>
      </c>
      <c r="N88" s="6" t="s">
        <v>550</v>
      </c>
      <c r="O88" s="13" t="s">
        <v>17</v>
      </c>
      <c r="P88" s="13" t="s">
        <v>17</v>
      </c>
      <c r="Q88" s="6" t="s">
        <v>571</v>
      </c>
      <c r="R88" s="13" t="s">
        <v>73</v>
      </c>
    </row>
    <row r="89" spans="1:20" x14ac:dyDescent="0.25">
      <c r="A89" s="15" t="s">
        <v>572</v>
      </c>
      <c r="B89" s="9" t="s">
        <v>33</v>
      </c>
      <c r="C89" s="9" t="s">
        <v>573</v>
      </c>
      <c r="D89" s="9" t="s">
        <v>38</v>
      </c>
      <c r="E89" s="15" t="s">
        <v>107</v>
      </c>
      <c r="F89" s="15" t="s">
        <v>65</v>
      </c>
      <c r="G89" s="16">
        <f>=IF(F89="Completed", 1, IF(F89="In Progress", 0.5, IF(F89="Review", 0.8, 0)))</f>
        <v>0</v>
      </c>
      <c r="H89" s="15" t="s">
        <v>40</v>
      </c>
      <c r="I89" s="15" t="s">
        <v>565</v>
      </c>
      <c r="J89" s="9" t="s">
        <v>574</v>
      </c>
      <c r="K89" s="9" t="s">
        <v>575</v>
      </c>
      <c r="L89" s="9" t="s">
        <v>576</v>
      </c>
      <c r="M89" s="9" t="s">
        <v>577</v>
      </c>
      <c r="N89" s="9" t="s">
        <v>550</v>
      </c>
      <c r="O89" s="15" t="s">
        <v>17</v>
      </c>
      <c r="P89" s="15" t="s">
        <v>17</v>
      </c>
      <c r="Q89" s="9" t="s">
        <v>578</v>
      </c>
      <c r="R89" s="15" t="s">
        <v>73</v>
      </c>
    </row>
    <row r="90" spans="1:20" x14ac:dyDescent="0.25">
      <c r="A90" s="13" t="s">
        <v>579</v>
      </c>
      <c r="B90" s="6" t="s">
        <v>33</v>
      </c>
      <c r="C90" s="6" t="s">
        <v>580</v>
      </c>
      <c r="D90" s="6" t="s">
        <v>38</v>
      </c>
      <c r="E90" s="13" t="s">
        <v>91</v>
      </c>
      <c r="F90" s="13" t="s">
        <v>65</v>
      </c>
      <c r="G90" s="14">
        <f>=IF(F90="Completed", 1, IF(F90="In Progress", 0.5, IF(F90="Review", 0.8, 0)))</f>
        <v>0</v>
      </c>
      <c r="H90" s="13" t="s">
        <v>37</v>
      </c>
      <c r="I90" s="13" t="s">
        <v>66</v>
      </c>
      <c r="J90" s="6" t="s">
        <v>581</v>
      </c>
      <c r="K90" s="6" t="s">
        <v>582</v>
      </c>
      <c r="L90" s="6" t="s">
        <v>583</v>
      </c>
      <c r="M90" s="6" t="s">
        <v>584</v>
      </c>
      <c r="N90" s="6" t="s">
        <v>550</v>
      </c>
      <c r="O90" s="13" t="s">
        <v>17</v>
      </c>
      <c r="P90" s="13" t="s">
        <v>17</v>
      </c>
      <c r="Q90" s="6" t="s">
        <v>585</v>
      </c>
      <c r="R90" s="13" t="s">
        <v>166</v>
      </c>
    </row>
    <row r="91" spans="1:20" x14ac:dyDescent="0.25">
      <c r="A91" s="15" t="s">
        <v>586</v>
      </c>
      <c r="B91" s="9" t="s">
        <v>33</v>
      </c>
      <c r="C91" s="9" t="s">
        <v>587</v>
      </c>
      <c r="D91" s="9" t="s">
        <v>38</v>
      </c>
      <c r="E91" s="15" t="s">
        <v>64</v>
      </c>
      <c r="F91" s="15" t="s">
        <v>65</v>
      </c>
      <c r="G91" s="16">
        <f>=IF(F91="Completed", 1, IF(F91="In Progress", 0.5, IF(F91="Review", 0.8, 0)))</f>
        <v>0</v>
      </c>
      <c r="H91" s="15" t="s">
        <v>37</v>
      </c>
      <c r="I91" s="15" t="s">
        <v>579</v>
      </c>
      <c r="J91" s="9" t="s">
        <v>588</v>
      </c>
      <c r="K91" s="9" t="s">
        <v>589</v>
      </c>
      <c r="L91" s="9" t="s">
        <v>590</v>
      </c>
      <c r="M91" s="9" t="s">
        <v>591</v>
      </c>
      <c r="N91" s="9" t="s">
        <v>550</v>
      </c>
      <c r="O91" s="15" t="s">
        <v>17</v>
      </c>
      <c r="P91" s="15" t="s">
        <v>17</v>
      </c>
      <c r="Q91" s="9" t="s">
        <v>592</v>
      </c>
      <c r="R91" s="15" t="s">
        <v>166</v>
      </c>
    </row>
    <row r="92" spans="1:20" x14ac:dyDescent="0.25">
      <c r="A92" s="13" t="s">
        <v>593</v>
      </c>
      <c r="B92" s="6" t="s">
        <v>33</v>
      </c>
      <c r="C92" s="6" t="s">
        <v>594</v>
      </c>
      <c r="D92" s="6" t="s">
        <v>38</v>
      </c>
      <c r="E92" s="13" t="s">
        <v>107</v>
      </c>
      <c r="F92" s="13" t="s">
        <v>65</v>
      </c>
      <c r="G92" s="14">
        <f>=IF(F92="Completed", 1, IF(F92="In Progress", 0.5, IF(F92="Review", 0.8, 0)))</f>
        <v>0</v>
      </c>
      <c r="H92" s="13" t="s">
        <v>40</v>
      </c>
      <c r="I92" s="13" t="s">
        <v>586</v>
      </c>
      <c r="J92" s="6" t="s">
        <v>595</v>
      </c>
      <c r="K92" s="6" t="s">
        <v>596</v>
      </c>
      <c r="L92" s="6" t="s">
        <v>597</v>
      </c>
      <c r="M92" s="6" t="s">
        <v>598</v>
      </c>
      <c r="N92" s="6" t="s">
        <v>550</v>
      </c>
      <c r="O92" s="13" t="s">
        <v>17</v>
      </c>
      <c r="P92" s="13" t="s">
        <v>17</v>
      </c>
      <c r="Q92" s="6" t="s">
        <v>599</v>
      </c>
      <c r="R92" s="13" t="s">
        <v>73</v>
      </c>
    </row>
    <row r="93" spans="1:20" x14ac:dyDescent="0.25">
      <c r="A93" s="15" t="s">
        <v>600</v>
      </c>
      <c r="B93" s="9" t="s">
        <v>33</v>
      </c>
      <c r="C93" s="9" t="s">
        <v>601</v>
      </c>
      <c r="D93" s="9" t="s">
        <v>38</v>
      </c>
      <c r="E93" s="15" t="s">
        <v>107</v>
      </c>
      <c r="F93" s="15" t="s">
        <v>65</v>
      </c>
      <c r="G93" s="16">
        <f>=IF(F93="Completed", 1, IF(F93="In Progress", 0.5, IF(F93="Review", 0.8, 0)))</f>
        <v>0</v>
      </c>
      <c r="H93" s="15" t="s">
        <v>40</v>
      </c>
      <c r="I93" s="15" t="s">
        <v>552</v>
      </c>
      <c r="J93" s="9" t="s">
        <v>602</v>
      </c>
      <c r="K93" s="9" t="s">
        <v>603</v>
      </c>
      <c r="L93" s="9" t="s">
        <v>604</v>
      </c>
      <c r="M93" s="9" t="s">
        <v>605</v>
      </c>
      <c r="N93" s="9" t="s">
        <v>550</v>
      </c>
      <c r="O93" s="15" t="s">
        <v>17</v>
      </c>
      <c r="P93" s="15" t="s">
        <v>17</v>
      </c>
      <c r="Q93" s="9" t="s">
        <v>606</v>
      </c>
      <c r="R93" s="15" t="s">
        <v>73</v>
      </c>
    </row>
    <row r="94" spans="1:20" x14ac:dyDescent="0.25">
      <c r="A94" s="13" t="s">
        <v>607</v>
      </c>
      <c r="B94" s="6" t="s">
        <v>36</v>
      </c>
      <c r="C94" s="6" t="s">
        <v>608</v>
      </c>
      <c r="D94" s="6" t="s">
        <v>35</v>
      </c>
      <c r="E94" s="13" t="s">
        <v>107</v>
      </c>
      <c r="F94" s="13" t="s">
        <v>65</v>
      </c>
      <c r="G94" s="14">
        <f>=IF(F94="Completed", 1, IF(F94="In Progress", 0.5, IF(F94="Review", 0.8, 0)))</f>
        <v>0</v>
      </c>
      <c r="H94" s="13" t="s">
        <v>37</v>
      </c>
      <c r="I94" s="13" t="s">
        <v>66</v>
      </c>
      <c r="J94" s="6" t="s">
        <v>609</v>
      </c>
      <c r="K94" s="6" t="s">
        <v>610</v>
      </c>
      <c r="L94" s="6" t="s">
        <v>611</v>
      </c>
      <c r="M94" s="6" t="s">
        <v>612</v>
      </c>
      <c r="N94" s="6" t="s">
        <v>550</v>
      </c>
      <c r="O94" s="13" t="s">
        <v>17</v>
      </c>
      <c r="P94" s="13" t="s">
        <v>17</v>
      </c>
      <c r="Q94" s="6" t="s">
        <v>613</v>
      </c>
      <c r="R94" s="13" t="s">
        <v>73</v>
      </c>
    </row>
    <row r="95" spans="1:20" x14ac:dyDescent="0.25">
      <c r="A95" s="15" t="s">
        <v>614</v>
      </c>
      <c r="B95" s="9" t="s">
        <v>36</v>
      </c>
      <c r="C95" s="9" t="s">
        <v>615</v>
      </c>
      <c r="D95" s="9" t="s">
        <v>35</v>
      </c>
      <c r="E95" s="15" t="s">
        <v>64</v>
      </c>
      <c r="F95" s="15" t="s">
        <v>65</v>
      </c>
      <c r="G95" s="16">
        <f>=IF(F95="Completed", 1, IF(F95="In Progress", 0.5, IF(F95="Review", 0.8, 0)))</f>
        <v>0</v>
      </c>
      <c r="H95" s="15" t="s">
        <v>37</v>
      </c>
      <c r="I95" s="15" t="s">
        <v>579</v>
      </c>
      <c r="J95" s="9" t="s">
        <v>616</v>
      </c>
      <c r="K95" s="9" t="s">
        <v>617</v>
      </c>
      <c r="L95" s="9" t="s">
        <v>618</v>
      </c>
      <c r="M95" s="9" t="s">
        <v>619</v>
      </c>
      <c r="N95" s="9" t="s">
        <v>550</v>
      </c>
      <c r="O95" s="15" t="s">
        <v>17</v>
      </c>
      <c r="P95" s="15" t="s">
        <v>17</v>
      </c>
      <c r="Q95" s="9" t="s">
        <v>620</v>
      </c>
      <c r="R95" s="15" t="s">
        <v>73</v>
      </c>
    </row>
    <row r="96" spans="1:20" x14ac:dyDescent="0.25">
      <c r="A96" s="13" t="s">
        <v>621</v>
      </c>
      <c r="B96" s="6" t="s">
        <v>36</v>
      </c>
      <c r="C96" s="6" t="s">
        <v>622</v>
      </c>
      <c r="D96" s="6" t="s">
        <v>35</v>
      </c>
      <c r="E96" s="13" t="s">
        <v>107</v>
      </c>
      <c r="F96" s="13" t="s">
        <v>65</v>
      </c>
      <c r="G96" s="14">
        <f>=IF(F96="Completed", 1, IF(F96="In Progress", 0.5, IF(F96="Review", 0.8, 0)))</f>
        <v>0</v>
      </c>
      <c r="H96" s="13" t="s">
        <v>37</v>
      </c>
      <c r="I96" s="13" t="s">
        <v>66</v>
      </c>
      <c r="J96" s="6" t="s">
        <v>623</v>
      </c>
      <c r="K96" s="6" t="s">
        <v>624</v>
      </c>
      <c r="L96" s="6" t="s">
        <v>625</v>
      </c>
      <c r="M96" s="6" t="s">
        <v>626</v>
      </c>
      <c r="N96" s="6" t="s">
        <v>550</v>
      </c>
      <c r="O96" s="13" t="s">
        <v>17</v>
      </c>
      <c r="P96" s="13" t="s">
        <v>17</v>
      </c>
      <c r="Q96" s="6" t="s">
        <v>627</v>
      </c>
      <c r="R96" s="13" t="s">
        <v>73</v>
      </c>
    </row>
    <row r="97" spans="1:20" x14ac:dyDescent="0.25">
      <c r="A97" s="15" t="s">
        <v>628</v>
      </c>
      <c r="B97" s="9" t="s">
        <v>36</v>
      </c>
      <c r="C97" s="9" t="s">
        <v>629</v>
      </c>
      <c r="D97" s="9" t="s">
        <v>35</v>
      </c>
      <c r="E97" s="15" t="s">
        <v>64</v>
      </c>
      <c r="F97" s="15" t="s">
        <v>65</v>
      </c>
      <c r="G97" s="16">
        <f>=IF(F97="Completed", 1, IF(F97="In Progress", 0.5, IF(F97="Review", 0.8, 0)))</f>
        <v>0</v>
      </c>
      <c r="H97" s="15" t="s">
        <v>40</v>
      </c>
      <c r="I97" s="15" t="s">
        <v>621</v>
      </c>
      <c r="J97" s="9" t="s">
        <v>630</v>
      </c>
      <c r="K97" s="9" t="s">
        <v>631</v>
      </c>
      <c r="L97" s="9" t="s">
        <v>632</v>
      </c>
      <c r="M97" s="9" t="s">
        <v>633</v>
      </c>
      <c r="N97" s="9" t="s">
        <v>550</v>
      </c>
      <c r="O97" s="15" t="s">
        <v>17</v>
      </c>
      <c r="P97" s="15" t="s">
        <v>17</v>
      </c>
      <c r="Q97" s="9" t="s">
        <v>634</v>
      </c>
      <c r="R97" s="15" t="s">
        <v>166</v>
      </c>
    </row>
    <row r="98" spans="1:20" x14ac:dyDescent="0.25">
      <c r="A98" s="13" t="s">
        <v>635</v>
      </c>
      <c r="B98" s="6" t="s">
        <v>36</v>
      </c>
      <c r="C98" s="6" t="s">
        <v>636</v>
      </c>
      <c r="D98" s="6" t="s">
        <v>35</v>
      </c>
      <c r="E98" s="13" t="s">
        <v>64</v>
      </c>
      <c r="F98" s="13" t="s">
        <v>65</v>
      </c>
      <c r="G98" s="14">
        <f>=IF(F98="Completed", 1, IF(F98="In Progress", 0.5, IF(F98="Review", 0.8, 0)))</f>
        <v>0</v>
      </c>
      <c r="H98" s="13" t="s">
        <v>40</v>
      </c>
      <c r="I98" s="13" t="s">
        <v>614</v>
      </c>
      <c r="J98" s="6" t="s">
        <v>637</v>
      </c>
      <c r="K98" s="6" t="s">
        <v>638</v>
      </c>
      <c r="L98" s="6" t="s">
        <v>639</v>
      </c>
      <c r="M98" s="6" t="s">
        <v>640</v>
      </c>
      <c r="N98" s="6" t="s">
        <v>550</v>
      </c>
      <c r="O98" s="13" t="s">
        <v>17</v>
      </c>
      <c r="P98" s="13" t="s">
        <v>17</v>
      </c>
      <c r="Q98" s="6" t="s">
        <v>641</v>
      </c>
      <c r="R98" s="13" t="s">
        <v>73</v>
      </c>
    </row>
    <row r="99" spans="1:20" x14ac:dyDescent="0.25">
      <c r="A99" s="15" t="s">
        <v>642</v>
      </c>
      <c r="B99" s="9" t="s">
        <v>36</v>
      </c>
      <c r="C99" s="9" t="s">
        <v>643</v>
      </c>
      <c r="D99" s="9" t="s">
        <v>35</v>
      </c>
      <c r="E99" s="15" t="s">
        <v>107</v>
      </c>
      <c r="F99" s="15" t="s">
        <v>65</v>
      </c>
      <c r="G99" s="16">
        <f>=IF(F99="Completed", 1, IF(F99="In Progress", 0.5, IF(F99="Review", 0.8, 0)))</f>
        <v>0</v>
      </c>
      <c r="H99" s="15" t="s">
        <v>42</v>
      </c>
      <c r="I99" s="15" t="s">
        <v>621</v>
      </c>
      <c r="J99" s="9" t="s">
        <v>644</v>
      </c>
      <c r="K99" s="9" t="s">
        <v>645</v>
      </c>
      <c r="L99" s="9" t="s">
        <v>646</v>
      </c>
      <c r="M99" s="9" t="s">
        <v>647</v>
      </c>
      <c r="N99" s="9" t="s">
        <v>550</v>
      </c>
      <c r="O99" s="15" t="s">
        <v>17</v>
      </c>
      <c r="P99" s="15" t="s">
        <v>17</v>
      </c>
      <c r="Q99" s="9" t="s">
        <v>648</v>
      </c>
      <c r="R99" s="15" t="s">
        <v>73</v>
      </c>
    </row>
    <row r="100" spans="1:20" x14ac:dyDescent="0.25">
      <c r="A100" s="13" t="s">
        <v>649</v>
      </c>
      <c r="B100" s="6" t="s">
        <v>36</v>
      </c>
      <c r="C100" s="6" t="s">
        <v>650</v>
      </c>
      <c r="D100" s="6" t="s">
        <v>35</v>
      </c>
      <c r="E100" s="13" t="s">
        <v>107</v>
      </c>
      <c r="F100" s="13" t="s">
        <v>65</v>
      </c>
      <c r="G100" s="14">
        <f>=IF(F100="Completed", 1, IF(F100="In Progress", 0.5, IF(F100="Review", 0.8, 0)))</f>
        <v>0</v>
      </c>
      <c r="H100" s="13" t="s">
        <v>37</v>
      </c>
      <c r="I100" s="13" t="s">
        <v>66</v>
      </c>
      <c r="J100" s="6" t="s">
        <v>651</v>
      </c>
      <c r="K100" s="6" t="s">
        <v>652</v>
      </c>
      <c r="L100" s="6" t="s">
        <v>653</v>
      </c>
      <c r="M100" s="6" t="s">
        <v>654</v>
      </c>
      <c r="N100" s="6" t="s">
        <v>381</v>
      </c>
      <c r="O100" s="13" t="s">
        <v>17</v>
      </c>
      <c r="P100" s="13" t="s">
        <v>17</v>
      </c>
      <c r="Q100" s="6" t="s">
        <v>655</v>
      </c>
      <c r="R100" s="13" t="s">
        <v>73</v>
      </c>
    </row>
    <row r="101" spans="1:20" x14ac:dyDescent="0.25">
      <c r="A101" s="15" t="s">
        <v>656</v>
      </c>
      <c r="B101" s="9" t="s">
        <v>36</v>
      </c>
      <c r="C101" s="9" t="s">
        <v>657</v>
      </c>
      <c r="D101" s="9" t="s">
        <v>35</v>
      </c>
      <c r="E101" s="15" t="s">
        <v>64</v>
      </c>
      <c r="F101" s="15" t="s">
        <v>65</v>
      </c>
      <c r="G101" s="16">
        <f>=IF(F101="Completed", 1, IF(F101="In Progress", 0.5, IF(F101="Review", 0.8, 0)))</f>
        <v>0</v>
      </c>
      <c r="H101" s="15" t="s">
        <v>42</v>
      </c>
      <c r="I101" s="15" t="s">
        <v>628</v>
      </c>
      <c r="J101" s="9" t="s">
        <v>658</v>
      </c>
      <c r="K101" s="9" t="s">
        <v>659</v>
      </c>
      <c r="L101" s="9" t="s">
        <v>660</v>
      </c>
      <c r="M101" s="9" t="s">
        <v>661</v>
      </c>
      <c r="N101" s="9" t="s">
        <v>550</v>
      </c>
      <c r="O101" s="15" t="s">
        <v>17</v>
      </c>
      <c r="P101" s="15" t="s">
        <v>17</v>
      </c>
      <c r="Q101" s="9" t="s">
        <v>662</v>
      </c>
      <c r="R101" s="15" t="s">
        <v>73</v>
      </c>
    </row>
    <row r="102" spans="1:20" x14ac:dyDescent="0.25">
      <c r="A102" s="13" t="s">
        <v>663</v>
      </c>
      <c r="B102" s="6" t="s">
        <v>36</v>
      </c>
      <c r="C102" s="6" t="s">
        <v>664</v>
      </c>
      <c r="D102" s="6" t="s">
        <v>35</v>
      </c>
      <c r="E102" s="13" t="s">
        <v>107</v>
      </c>
      <c r="F102" s="13" t="s">
        <v>65</v>
      </c>
      <c r="G102" s="14">
        <f>=IF(F102="Completed", 1, IF(F102="In Progress", 0.5, IF(F102="Review", 0.8, 0)))</f>
        <v>0</v>
      </c>
      <c r="H102" s="13" t="s">
        <v>37</v>
      </c>
      <c r="I102" s="13" t="s">
        <v>621</v>
      </c>
      <c r="J102" s="6" t="s">
        <v>665</v>
      </c>
      <c r="K102" s="6" t="s">
        <v>666</v>
      </c>
      <c r="L102" s="6" t="s">
        <v>667</v>
      </c>
      <c r="M102" s="6" t="s">
        <v>668</v>
      </c>
      <c r="N102" s="6" t="s">
        <v>669</v>
      </c>
      <c r="O102" s="13" t="s">
        <v>17</v>
      </c>
      <c r="P102" s="13" t="s">
        <v>17</v>
      </c>
      <c r="Q102" s="6" t="s">
        <v>670</v>
      </c>
      <c r="R102" s="13" t="s">
        <v>73</v>
      </c>
    </row>
    <row r="103" spans="1:20" x14ac:dyDescent="0.25">
      <c r="A103" s="15" t="s">
        <v>671</v>
      </c>
      <c r="B103" s="9" t="s">
        <v>39</v>
      </c>
      <c r="C103" s="9" t="s">
        <v>672</v>
      </c>
      <c r="D103" s="9" t="s">
        <v>23</v>
      </c>
      <c r="E103" s="15" t="s">
        <v>64</v>
      </c>
      <c r="F103" s="15" t="s">
        <v>65</v>
      </c>
      <c r="G103" s="16">
        <f>=IF(F103="Completed", 1, IF(F103="In Progress", 0.5, IF(F103="Review", 0.8, 0)))</f>
        <v>0</v>
      </c>
      <c r="H103" s="15" t="s">
        <v>28</v>
      </c>
      <c r="I103" s="15" t="s">
        <v>66</v>
      </c>
      <c r="J103" s="9" t="s">
        <v>673</v>
      </c>
      <c r="K103" s="9" t="s">
        <v>674</v>
      </c>
      <c r="L103" s="9" t="s">
        <v>675</v>
      </c>
      <c r="M103" s="9" t="s">
        <v>676</v>
      </c>
      <c r="N103" s="9" t="s">
        <v>677</v>
      </c>
      <c r="O103" s="15" t="s">
        <v>17</v>
      </c>
      <c r="P103" s="15" t="s">
        <v>17</v>
      </c>
      <c r="Q103" s="9" t="s">
        <v>678</v>
      </c>
      <c r="R103" s="15" t="s">
        <v>73</v>
      </c>
    </row>
    <row r="104" spans="1:20" x14ac:dyDescent="0.25">
      <c r="A104" s="13" t="s">
        <v>679</v>
      </c>
      <c r="B104" s="6" t="s">
        <v>39</v>
      </c>
      <c r="C104" s="6" t="s">
        <v>680</v>
      </c>
      <c r="D104" s="6" t="s">
        <v>23</v>
      </c>
      <c r="E104" s="13" t="s">
        <v>64</v>
      </c>
      <c r="F104" s="13" t="s">
        <v>65</v>
      </c>
      <c r="G104" s="14">
        <f>=IF(F104="Completed", 1, IF(F104="In Progress", 0.5, IF(F104="Review", 0.8, 0)))</f>
        <v>0</v>
      </c>
      <c r="H104" s="13" t="s">
        <v>31</v>
      </c>
      <c r="I104" s="13" t="s">
        <v>671</v>
      </c>
      <c r="J104" s="6" t="s">
        <v>681</v>
      </c>
      <c r="K104" s="6" t="s">
        <v>682</v>
      </c>
      <c r="L104" s="6" t="s">
        <v>683</v>
      </c>
      <c r="M104" s="6" t="s">
        <v>684</v>
      </c>
      <c r="N104" s="6" t="s">
        <v>677</v>
      </c>
      <c r="O104" s="13" t="s">
        <v>17</v>
      </c>
      <c r="P104" s="13" t="s">
        <v>17</v>
      </c>
      <c r="Q104" s="6" t="s">
        <v>685</v>
      </c>
      <c r="R104" s="13" t="s">
        <v>73</v>
      </c>
    </row>
    <row r="105" spans="1:20" x14ac:dyDescent="0.25">
      <c r="A105" s="15" t="s">
        <v>686</v>
      </c>
      <c r="B105" s="9" t="s">
        <v>39</v>
      </c>
      <c r="C105" s="9" t="s">
        <v>687</v>
      </c>
      <c r="D105" s="9" t="s">
        <v>23</v>
      </c>
      <c r="E105" s="15" t="s">
        <v>64</v>
      </c>
      <c r="F105" s="15" t="s">
        <v>65</v>
      </c>
      <c r="G105" s="16">
        <f>=IF(F105="Completed", 1, IF(F105="In Progress", 0.5, IF(F105="Review", 0.8, 0)))</f>
        <v>0</v>
      </c>
      <c r="H105" s="15" t="s">
        <v>40</v>
      </c>
      <c r="I105" s="15" t="s">
        <v>66</v>
      </c>
      <c r="J105" s="9" t="s">
        <v>688</v>
      </c>
      <c r="K105" s="9" t="s">
        <v>689</v>
      </c>
      <c r="L105" s="9" t="s">
        <v>690</v>
      </c>
      <c r="M105" s="9" t="s">
        <v>691</v>
      </c>
      <c r="N105" s="9" t="s">
        <v>677</v>
      </c>
      <c r="O105" s="15" t="s">
        <v>17</v>
      </c>
      <c r="P105" s="15" t="s">
        <v>17</v>
      </c>
      <c r="Q105" s="9" t="s">
        <v>692</v>
      </c>
      <c r="R105" s="15" t="s">
        <v>73</v>
      </c>
    </row>
    <row r="106" spans="1:20" x14ac:dyDescent="0.25">
      <c r="A106" s="13" t="s">
        <v>693</v>
      </c>
      <c r="B106" s="6" t="s">
        <v>39</v>
      </c>
      <c r="C106" s="6" t="s">
        <v>694</v>
      </c>
      <c r="D106" s="6" t="s">
        <v>23</v>
      </c>
      <c r="E106" s="13" t="s">
        <v>107</v>
      </c>
      <c r="F106" s="13" t="s">
        <v>65</v>
      </c>
      <c r="G106" s="14">
        <f>=IF(F106="Completed", 1, IF(F106="In Progress", 0.5, IF(F106="Review", 0.8, 0)))</f>
        <v>0</v>
      </c>
      <c r="H106" s="13" t="s">
        <v>129</v>
      </c>
      <c r="I106" s="13" t="s">
        <v>66</v>
      </c>
      <c r="J106" s="6" t="s">
        <v>695</v>
      </c>
      <c r="K106" s="6" t="s">
        <v>696</v>
      </c>
      <c r="L106" s="6" t="s">
        <v>697</v>
      </c>
      <c r="M106" s="6" t="s">
        <v>698</v>
      </c>
      <c r="N106" s="6" t="s">
        <v>677</v>
      </c>
      <c r="O106" s="13" t="s">
        <v>17</v>
      </c>
      <c r="P106" s="13" t="s">
        <v>17</v>
      </c>
      <c r="Q106" s="6" t="s">
        <v>699</v>
      </c>
      <c r="R106" s="13" t="s">
        <v>73</v>
      </c>
    </row>
    <row r="107" spans="1:20" x14ac:dyDescent="0.25">
      <c r="A107" s="15" t="s">
        <v>700</v>
      </c>
      <c r="B107" s="9" t="s">
        <v>39</v>
      </c>
      <c r="C107" s="9" t="s">
        <v>701</v>
      </c>
      <c r="D107" s="9" t="s">
        <v>23</v>
      </c>
      <c r="E107" s="15" t="s">
        <v>64</v>
      </c>
      <c r="F107" s="15" t="s">
        <v>65</v>
      </c>
      <c r="G107" s="16">
        <f>=IF(F107="Completed", 1, IF(F107="In Progress", 0.5, IF(F107="Review", 0.8, 0)))</f>
        <v>0</v>
      </c>
      <c r="H107" s="15" t="s">
        <v>129</v>
      </c>
      <c r="I107" s="15" t="s">
        <v>66</v>
      </c>
      <c r="J107" s="9" t="s">
        <v>702</v>
      </c>
      <c r="K107" s="9" t="s">
        <v>703</v>
      </c>
      <c r="L107" s="9" t="s">
        <v>704</v>
      </c>
      <c r="M107" s="9" t="s">
        <v>705</v>
      </c>
      <c r="N107" s="9" t="s">
        <v>669</v>
      </c>
      <c r="O107" s="15" t="s">
        <v>17</v>
      </c>
      <c r="P107" s="15" t="s">
        <v>17</v>
      </c>
      <c r="Q107" s="9" t="s">
        <v>706</v>
      </c>
      <c r="R107" s="15" t="s">
        <v>73</v>
      </c>
    </row>
    <row r="108" spans="1:20" x14ac:dyDescent="0.25">
      <c r="A108" s="13" t="s">
        <v>707</v>
      </c>
      <c r="B108" s="6" t="s">
        <v>39</v>
      </c>
      <c r="C108" s="6" t="s">
        <v>708</v>
      </c>
      <c r="D108" s="6" t="s">
        <v>23</v>
      </c>
      <c r="E108" s="13" t="s">
        <v>107</v>
      </c>
      <c r="F108" s="13" t="s">
        <v>65</v>
      </c>
      <c r="G108" s="14">
        <f>=IF(F108="Completed", 1, IF(F108="In Progress", 0.5, IF(F108="Review", 0.8, 0)))</f>
        <v>0</v>
      </c>
      <c r="H108" s="13" t="s">
        <v>42</v>
      </c>
      <c r="I108" s="13" t="s">
        <v>66</v>
      </c>
      <c r="J108" s="6" t="s">
        <v>709</v>
      </c>
      <c r="K108" s="6" t="s">
        <v>710</v>
      </c>
      <c r="L108" s="6" t="s">
        <v>711</v>
      </c>
      <c r="M108" s="6" t="s">
        <v>712</v>
      </c>
      <c r="N108" s="6" t="s">
        <v>677</v>
      </c>
      <c r="O108" s="13" t="s">
        <v>17</v>
      </c>
      <c r="P108" s="13" t="s">
        <v>17</v>
      </c>
      <c r="Q108" s="6" t="s">
        <v>713</v>
      </c>
      <c r="R108" s="13" t="s">
        <v>73</v>
      </c>
    </row>
    <row r="109" spans="1:20" x14ac:dyDescent="0.25">
      <c r="A109" s="15" t="s">
        <v>714</v>
      </c>
      <c r="B109" s="9" t="s">
        <v>39</v>
      </c>
      <c r="C109" s="9" t="s">
        <v>715</v>
      </c>
      <c r="D109" s="9" t="s">
        <v>23</v>
      </c>
      <c r="E109" s="15" t="s">
        <v>64</v>
      </c>
      <c r="F109" s="15" t="s">
        <v>65</v>
      </c>
      <c r="G109" s="16">
        <f>=IF(F109="Completed", 1, IF(F109="In Progress", 0.5, IF(F109="Review", 0.8, 0)))</f>
        <v>0</v>
      </c>
      <c r="H109" s="15" t="s">
        <v>42</v>
      </c>
      <c r="I109" s="15" t="s">
        <v>66</v>
      </c>
      <c r="J109" s="9" t="s">
        <v>716</v>
      </c>
      <c r="K109" s="9" t="s">
        <v>717</v>
      </c>
      <c r="L109" s="9" t="s">
        <v>718</v>
      </c>
      <c r="M109" s="9" t="s">
        <v>719</v>
      </c>
      <c r="N109" s="9" t="s">
        <v>677</v>
      </c>
      <c r="O109" s="15" t="s">
        <v>17</v>
      </c>
      <c r="P109" s="15" t="s">
        <v>17</v>
      </c>
      <c r="Q109" s="9" t="s">
        <v>720</v>
      </c>
      <c r="R109" s="15" t="s">
        <v>73</v>
      </c>
    </row>
    <row r="110" spans="1:20" x14ac:dyDescent="0.25">
      <c r="A110" s="13" t="s">
        <v>721</v>
      </c>
      <c r="B110" s="6" t="s">
        <v>39</v>
      </c>
      <c r="C110" s="6" t="s">
        <v>722</v>
      </c>
      <c r="D110" s="6" t="s">
        <v>23</v>
      </c>
      <c r="E110" s="13" t="s">
        <v>64</v>
      </c>
      <c r="F110" s="13" t="s">
        <v>65</v>
      </c>
      <c r="G110" s="14">
        <f>=IF(F110="Completed", 1, IF(F110="In Progress", 0.5, IF(F110="Review", 0.8, 0)))</f>
        <v>0</v>
      </c>
      <c r="H110" s="13" t="s">
        <v>129</v>
      </c>
      <c r="I110" s="13" t="s">
        <v>66</v>
      </c>
      <c r="J110" s="6" t="s">
        <v>723</v>
      </c>
      <c r="K110" s="6" t="s">
        <v>724</v>
      </c>
      <c r="L110" s="6" t="s">
        <v>725</v>
      </c>
      <c r="M110" s="6" t="s">
        <v>726</v>
      </c>
      <c r="N110" s="6" t="s">
        <v>677</v>
      </c>
      <c r="O110" s="13" t="s">
        <v>17</v>
      </c>
      <c r="P110" s="13" t="s">
        <v>17</v>
      </c>
      <c r="Q110" s="6" t="s">
        <v>727</v>
      </c>
      <c r="R110" s="13" t="s">
        <v>73</v>
      </c>
    </row>
    <row r="111" spans="1:20" x14ac:dyDescent="0.25">
      <c r="A111" s="15" t="s">
        <v>728</v>
      </c>
      <c r="B111" s="9" t="s">
        <v>39</v>
      </c>
      <c r="C111" s="9" t="s">
        <v>729</v>
      </c>
      <c r="D111" s="9" t="s">
        <v>23</v>
      </c>
      <c r="E111" s="15" t="s">
        <v>64</v>
      </c>
      <c r="F111" s="15" t="s">
        <v>65</v>
      </c>
      <c r="G111" s="16">
        <f>=IF(F111="Completed", 1, IF(F111="In Progress", 0.5, IF(F111="Review", 0.8, 0)))</f>
        <v>0</v>
      </c>
      <c r="H111" s="15" t="s">
        <v>129</v>
      </c>
      <c r="I111" s="15" t="s">
        <v>721</v>
      </c>
      <c r="J111" s="9" t="s">
        <v>730</v>
      </c>
      <c r="K111" s="9" t="s">
        <v>731</v>
      </c>
      <c r="L111" s="9" t="s">
        <v>732</v>
      </c>
      <c r="M111" s="9" t="s">
        <v>733</v>
      </c>
      <c r="N111" s="9" t="s">
        <v>734</v>
      </c>
      <c r="O111" s="15" t="s">
        <v>17</v>
      </c>
      <c r="P111" s="15" t="s">
        <v>17</v>
      </c>
      <c r="Q111" s="9" t="s">
        <v>735</v>
      </c>
      <c r="R111" s="15" t="s">
        <v>73</v>
      </c>
    </row>
  </sheetData>
  <autoFilter ref="A15:R111"/>
  <mergeCells count="24">
    <mergeCell ref="A1:T1"/>
    <mergeCell ref="A2:B2"/>
    <mergeCell ref="C2:D2"/>
    <mergeCell ref="E2:F2"/>
    <mergeCell ref="G2:H2"/>
    <mergeCell ref="I2:J2"/>
    <mergeCell ref="K2:L2"/>
    <mergeCell ref="M2:N2"/>
    <mergeCell ref="O2:P2"/>
    <mergeCell ref="Q2:R2"/>
    <mergeCell ref="S2:T2"/>
    <mergeCell ref="A3:B4"/>
    <mergeCell ref="C3:D4"/>
    <mergeCell ref="E3:F4"/>
    <mergeCell ref="G3:H4"/>
    <mergeCell ref="I3:J4"/>
    <mergeCell ref="K3:L4"/>
    <mergeCell ref="M3:N4"/>
    <mergeCell ref="O3:P4"/>
    <mergeCell ref="Q3:R4"/>
    <mergeCell ref="S3:T4"/>
    <mergeCell ref="A6:F6"/>
    <mergeCell ref="H6:M6"/>
    <mergeCell ref="O6:R6"/>
  </mergeCells>
  <conditionalFormatting sqref="F16:F111">
    <cfRule type="cellIs" dxfId="0" priority="1" operator="equal">
      <formula>"Completed"</formula>
    </cfRule>
    <cfRule type="cellIs" dxfId="1" priority="2" operator="equal">
      <formula>"In Progress"</formula>
    </cfRule>
    <cfRule type="cellIs" dxfId="2" priority="3" operator="equal">
      <formula>"Review"</formula>
    </cfRule>
    <cfRule type="cellIs" dxfId="3" priority="4" operator="equal">
      <formula>"Blocked"</formula>
    </cfRule>
    <cfRule type="cellIs" dxfId="4" priority="5" operator="equal">
      <formula>"Not Started"</formula>
    </cfRule>
  </conditionalFormatting>
  <conditionalFormatting sqref="E16:E111">
    <cfRule type="cellIs" dxfId="5" priority="6" operator="equal">
      <formula>"Critical"</formula>
    </cfRule>
    <cfRule type="cellIs" dxfId="6" priority="7" operator="equal">
      <formula>"High"</formula>
    </cfRule>
    <cfRule type="cellIs" dxfId="7" priority="8" operator="equal">
      <formula>"Medium"</formula>
    </cfRule>
    <cfRule type="cellIs" dxfId="8" priority="9" operator="equal">
      <formula>"Low"</formula>
    </cfRule>
  </conditionalFormatting>
  <dataValidations count="6">
    <dataValidation type="list" allowBlank="1" sqref="E100:E111">
      <formula1>"Critical,High,Medium,Low"</formula1>
    </dataValidation>
    <dataValidation type="list" allowBlank="1" sqref="E16:E111">
      <formula1>"Critical,High,Medium,Low"</formula1>
    </dataValidation>
    <dataValidation type="list" allowBlank="1" sqref="F100:F111">
      <formula1>"Not Started,In Progress,Review,Completed,Blocked"</formula1>
    </dataValidation>
    <dataValidation type="list" allowBlank="1" sqref="F16:F111">
      <formula1>"Not Started,In Progress,Review,Completed,Blocked"</formula1>
    </dataValidation>
    <dataValidation type="list" allowBlank="1" sqref="R100:R111">
      <formula1>"Yes,No"</formula1>
    </dataValidation>
    <dataValidation type="list" allowBlank="1" sqref="R16:R111">
      <formula1>"Yes,No"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
  <sheetFormatPr defaultRowHeight="15" outlineLevelRow="0" outlineLevelCol="0" x14ac:dyDescent="55"/>
  <cols>
    <col min="1" max="15" width="40" customWidth="1"/>
  </cols>
  <sheetData>
    <row r="1" ht="30" customHeight="1" spans="1:15" x14ac:dyDescent="0.25">
      <c r="A1" s="1" t="s">
        <v>736</v>
      </c>
      <c r="B1" s="1"/>
      <c r="C1" s="1"/>
      <c r="D1" s="1"/>
      <c r="E1" s="1"/>
      <c r="F1" s="1"/>
      <c r="G1" s="1"/>
      <c r="H1" s="1"/>
      <c r="I1" s="1"/>
      <c r="J1" s="1"/>
      <c r="K1" s="1"/>
      <c r="L1" s="1"/>
      <c r="M1" s="1"/>
      <c r="N1" s="1"/>
      <c r="O1" s="1"/>
    </row>
    <row r="2" spans="1:15" x14ac:dyDescent="0.25"/>
    <row r="3" ht="20" customHeight="1" spans="1:15" x14ac:dyDescent="0.25">
      <c r="B3" s="17" t="s">
        <v>737</v>
      </c>
      <c r="C3" s="18" t="s">
        <v>738</v>
      </c>
      <c r="E3" s="17" t="s">
        <v>739</v>
      </c>
      <c r="F3" s="18" t="s">
        <v>740</v>
      </c>
      <c r="H3" s="17" t="s">
        <v>741</v>
      </c>
      <c r="I3" s="18" t="s">
        <v>742</v>
      </c>
    </row>
    <row r="4" spans="1:15" x14ac:dyDescent="0.25"/>
    <row r="5" ht="24" customHeight="1" spans="1:15" x14ac:dyDescent="0.25">
      <c r="A5" s="19" t="s">
        <v>743</v>
      </c>
      <c r="B5" s="19"/>
      <c r="C5" s="19"/>
      <c r="D5" s="20" t="s">
        <v>65</v>
      </c>
      <c r="E5" s="20"/>
      <c r="F5" s="20"/>
      <c r="G5" s="21" t="s">
        <v>744</v>
      </c>
      <c r="H5" s="21"/>
      <c r="I5" s="21"/>
      <c r="J5" s="22" t="s">
        <v>745</v>
      </c>
      <c r="K5" s="22"/>
      <c r="L5" s="22"/>
      <c r="M5" s="23" t="s">
        <v>16</v>
      </c>
      <c r="N5" s="23"/>
      <c r="O5" s="23"/>
    </row>
    <row r="6" ht="18" customHeight="1" spans="1:15" x14ac:dyDescent="0.25">
      <c r="A6" s="24" t="s">
        <v>43</v>
      </c>
      <c r="B6" s="24" t="s">
        <v>45</v>
      </c>
      <c r="C6" s="24" t="s">
        <v>46</v>
      </c>
      <c r="D6" s="24" t="s">
        <v>43</v>
      </c>
      <c r="E6" s="24" t="s">
        <v>45</v>
      </c>
      <c r="F6" s="24" t="s">
        <v>46</v>
      </c>
      <c r="G6" s="24" t="s">
        <v>43</v>
      </c>
      <c r="H6" s="24" t="s">
        <v>45</v>
      </c>
      <c r="I6" s="24" t="s">
        <v>46</v>
      </c>
      <c r="J6" s="24" t="s">
        <v>43</v>
      </c>
      <c r="K6" s="24" t="s">
        <v>45</v>
      </c>
      <c r="L6" s="24" t="s">
        <v>46</v>
      </c>
      <c r="M6" s="24" t="s">
        <v>43</v>
      </c>
      <c r="N6" s="24" t="s">
        <v>45</v>
      </c>
      <c r="O6" s="24" t="s">
        <v>46</v>
      </c>
    </row>
    <row r="7" ht="18" customHeight="1" spans="1:15" x14ac:dyDescent="0.25">
      <c r="A7" s="25" t="s">
        <v>746</v>
      </c>
      <c r="B7" s="26" t="s">
        <v>746</v>
      </c>
      <c r="C7" s="27" t="s">
        <v>746</v>
      </c>
      <c r="D7" s="28" t="str">
        <f>=Dashboard!A16</f>
        <v>TASK-INF-001</v>
      </c>
      <c r="E7" s="26" t="str">
        <f>=Dashboard!C16</f>
        <v>Repository verification</v>
      </c>
      <c r="F7" s="29" t="str">
        <f>=Dashboard!D16</f>
        <v>Adithyan N + Muhammad Sanish</v>
      </c>
      <c r="G7" s="30" t="s">
        <v>746</v>
      </c>
      <c r="H7" s="26" t="s">
        <v>746</v>
      </c>
      <c r="I7" s="31" t="s">
        <v>746</v>
      </c>
      <c r="J7" s="32" t="s">
        <v>746</v>
      </c>
      <c r="K7" s="26" t="s">
        <v>746</v>
      </c>
      <c r="L7" s="33" t="s">
        <v>746</v>
      </c>
      <c r="M7" s="34" t="s">
        <v>746</v>
      </c>
      <c r="N7" s="26" t="s">
        <v>746</v>
      </c>
      <c r="O7" s="35" t="s">
        <v>746</v>
      </c>
    </row>
    <row r="8" ht="18" customHeight="1" spans="1:15" x14ac:dyDescent="0.25">
      <c r="A8" s="25" t="s">
        <v>746</v>
      </c>
      <c r="B8" s="26" t="s">
        <v>746</v>
      </c>
      <c r="C8" s="27" t="s">
        <v>746</v>
      </c>
      <c r="D8" s="28" t="str">
        <f>=Dashboard!A17</f>
        <v>TASK-INF-002</v>
      </c>
      <c r="E8" s="26" t="str">
        <f>=Dashboard!C17</f>
        <v>Git workflow setup</v>
      </c>
      <c r="F8" s="29" t="str">
        <f>=Dashboard!D17</f>
        <v>Adithyan N</v>
      </c>
      <c r="G8" s="30" t="s">
        <v>746</v>
      </c>
      <c r="H8" s="26" t="s">
        <v>746</v>
      </c>
      <c r="I8" s="31" t="s">
        <v>746</v>
      </c>
      <c r="J8" s="32" t="s">
        <v>746</v>
      </c>
      <c r="K8" s="26" t="s">
        <v>746</v>
      </c>
      <c r="L8" s="33" t="s">
        <v>746</v>
      </c>
      <c r="M8" s="34" t="s">
        <v>746</v>
      </c>
      <c r="N8" s="26" t="s">
        <v>746</v>
      </c>
      <c r="O8" s="35" t="s">
        <v>746</v>
      </c>
    </row>
    <row r="9" ht="18" customHeight="1" spans="1:15" x14ac:dyDescent="0.25">
      <c r="A9" s="25" t="s">
        <v>746</v>
      </c>
      <c r="B9" s="26" t="s">
        <v>746</v>
      </c>
      <c r="C9" s="27" t="s">
        <v>746</v>
      </c>
      <c r="D9" s="28" t="str">
        <f>=Dashboard!A18</f>
        <v>TASK-INF-003</v>
      </c>
      <c r="E9" s="26" t="str">
        <f>=Dashboard!C18</f>
        <v>Branch setup</v>
      </c>
      <c r="F9" s="29" t="str">
        <f>=Dashboard!D18</f>
        <v>Adithyan N</v>
      </c>
      <c r="G9" s="30" t="s">
        <v>746</v>
      </c>
      <c r="H9" s="26" t="s">
        <v>746</v>
      </c>
      <c r="I9" s="31" t="s">
        <v>746</v>
      </c>
      <c r="J9" s="32" t="s">
        <v>746</v>
      </c>
      <c r="K9" s="26" t="s">
        <v>746</v>
      </c>
      <c r="L9" s="33" t="s">
        <v>746</v>
      </c>
      <c r="M9" s="34" t="s">
        <v>746</v>
      </c>
      <c r="N9" s="26" t="s">
        <v>746</v>
      </c>
      <c r="O9" s="35" t="s">
        <v>746</v>
      </c>
    </row>
    <row r="10" ht="18" customHeight="1" spans="1:15" x14ac:dyDescent="0.25">
      <c r="A10" s="25" t="s">
        <v>746</v>
      </c>
      <c r="B10" s="26" t="s">
        <v>746</v>
      </c>
      <c r="C10" s="27" t="s">
        <v>746</v>
      </c>
      <c r="D10" s="28" t="str">
        <f>=Dashboard!A19</f>
        <v>TASK-INF-004</v>
      </c>
      <c r="E10" s="26" t="str">
        <f>=Dashboard!C19</f>
        <v>MongoDB Atlas setup</v>
      </c>
      <c r="F10" s="29" t="str">
        <f>=Dashboard!D19</f>
        <v>Adithyan N</v>
      </c>
      <c r="G10" s="30" t="s">
        <v>746</v>
      </c>
      <c r="H10" s="26" t="s">
        <v>746</v>
      </c>
      <c r="I10" s="31" t="s">
        <v>746</v>
      </c>
      <c r="J10" s="32" t="s">
        <v>746</v>
      </c>
      <c r="K10" s="26" t="s">
        <v>746</v>
      </c>
      <c r="L10" s="33" t="s">
        <v>746</v>
      </c>
      <c r="M10" s="34" t="s">
        <v>746</v>
      </c>
      <c r="N10" s="26" t="s">
        <v>746</v>
      </c>
      <c r="O10" s="35" t="s">
        <v>746</v>
      </c>
    </row>
    <row r="11" ht="18" customHeight="1" spans="1:15" x14ac:dyDescent="0.25">
      <c r="A11" s="25" t="s">
        <v>746</v>
      </c>
      <c r="B11" s="26" t="s">
        <v>746</v>
      </c>
      <c r="C11" s="27" t="s">
        <v>746</v>
      </c>
      <c r="D11" s="28" t="str">
        <f>=Dashboard!A20</f>
        <v>TASK-INF-005</v>
      </c>
      <c r="E11" s="26" t="str">
        <f>=Dashboard!C20</f>
        <v>Environment variables</v>
      </c>
      <c r="F11" s="29" t="str">
        <f>=Dashboard!D20</f>
        <v>Muhammad Sanish</v>
      </c>
      <c r="G11" s="30" t="s">
        <v>746</v>
      </c>
      <c r="H11" s="26" t="s">
        <v>746</v>
      </c>
      <c r="I11" s="31" t="s">
        <v>746</v>
      </c>
      <c r="J11" s="32" t="s">
        <v>746</v>
      </c>
      <c r="K11" s="26" t="s">
        <v>746</v>
      </c>
      <c r="L11" s="33" t="s">
        <v>746</v>
      </c>
      <c r="M11" s="34" t="s">
        <v>746</v>
      </c>
      <c r="N11" s="26" t="s">
        <v>746</v>
      </c>
      <c r="O11" s="35" t="s">
        <v>746</v>
      </c>
    </row>
    <row r="12" ht="18" customHeight="1" spans="1:15" x14ac:dyDescent="0.25">
      <c r="A12" s="25" t="s">
        <v>746</v>
      </c>
      <c r="B12" s="26" t="s">
        <v>746</v>
      </c>
      <c r="C12" s="27" t="s">
        <v>746</v>
      </c>
      <c r="D12" s="28" t="str">
        <f>=Dashboard!A21</f>
        <v>TASK-INF-006</v>
      </c>
      <c r="E12" s="26" t="str">
        <f>=Dashboard!C21</f>
        <v>ESLint</v>
      </c>
      <c r="F12" s="29" t="str">
        <f>=Dashboard!D21</f>
        <v>Adithyan N</v>
      </c>
      <c r="G12" s="30" t="s">
        <v>746</v>
      </c>
      <c r="H12" s="26" t="s">
        <v>746</v>
      </c>
      <c r="I12" s="31" t="s">
        <v>746</v>
      </c>
      <c r="J12" s="32" t="s">
        <v>746</v>
      </c>
      <c r="K12" s="26" t="s">
        <v>746</v>
      </c>
      <c r="L12" s="33" t="s">
        <v>746</v>
      </c>
      <c r="M12" s="34" t="s">
        <v>746</v>
      </c>
      <c r="N12" s="26" t="s">
        <v>746</v>
      </c>
      <c r="O12" s="35" t="s">
        <v>746</v>
      </c>
    </row>
    <row r="13" ht="18" customHeight="1" spans="1:15" x14ac:dyDescent="0.25">
      <c r="A13" s="25" t="s">
        <v>746</v>
      </c>
      <c r="B13" s="26" t="s">
        <v>746</v>
      </c>
      <c r="C13" s="27" t="s">
        <v>746</v>
      </c>
      <c r="D13" s="28" t="str">
        <f>=Dashboard!A22</f>
        <v>TASK-INF-007</v>
      </c>
      <c r="E13" s="26" t="str">
        <f>=Dashboard!C22</f>
        <v>Prettier</v>
      </c>
      <c r="F13" s="29" t="str">
        <f>=Dashboard!D22</f>
        <v>Adithyan N</v>
      </c>
      <c r="G13" s="30" t="s">
        <v>746</v>
      </c>
      <c r="H13" s="26" t="s">
        <v>746</v>
      </c>
      <c r="I13" s="31" t="s">
        <v>746</v>
      </c>
      <c r="J13" s="32" t="s">
        <v>746</v>
      </c>
      <c r="K13" s="26" t="s">
        <v>746</v>
      </c>
      <c r="L13" s="33" t="s">
        <v>746</v>
      </c>
      <c r="M13" s="34" t="s">
        <v>746</v>
      </c>
      <c r="N13" s="26" t="s">
        <v>746</v>
      </c>
      <c r="O13" s="35" t="s">
        <v>746</v>
      </c>
    </row>
    <row r="14" ht="18" customHeight="1" spans="1:15" x14ac:dyDescent="0.25">
      <c r="A14" s="25" t="s">
        <v>746</v>
      </c>
      <c r="B14" s="26" t="s">
        <v>746</v>
      </c>
      <c r="C14" s="27" t="s">
        <v>746</v>
      </c>
      <c r="D14" s="28" t="str">
        <f>=Dashboard!A23</f>
        <v>TASK-INF-008</v>
      </c>
      <c r="E14" s="26" t="str">
        <f>=Dashboard!C23</f>
        <v>Logging infrastructure</v>
      </c>
      <c r="F14" s="29" t="str">
        <f>=Dashboard!D23</f>
        <v>Muhammad Sanish</v>
      </c>
      <c r="G14" s="30" t="s">
        <v>746</v>
      </c>
      <c r="H14" s="26" t="s">
        <v>746</v>
      </c>
      <c r="I14" s="31" t="s">
        <v>746</v>
      </c>
      <c r="J14" s="32" t="s">
        <v>746</v>
      </c>
      <c r="K14" s="26" t="s">
        <v>746</v>
      </c>
      <c r="L14" s="33" t="s">
        <v>746</v>
      </c>
      <c r="M14" s="34" t="s">
        <v>746</v>
      </c>
      <c r="N14" s="26" t="s">
        <v>746</v>
      </c>
      <c r="O14" s="35" t="s">
        <v>746</v>
      </c>
    </row>
    <row r="15" ht="18" customHeight="1" spans="1:15" x14ac:dyDescent="0.25">
      <c r="A15" s="25" t="s">
        <v>746</v>
      </c>
      <c r="B15" s="26" t="s">
        <v>746</v>
      </c>
      <c r="C15" s="27" t="s">
        <v>746</v>
      </c>
      <c r="D15" s="28" t="str">
        <f>=Dashboard!A24</f>
        <v>TASK-INF-009</v>
      </c>
      <c r="E15" s="26" t="str">
        <f>=Dashboard!C24</f>
        <v>Deployment preparation</v>
      </c>
      <c r="F15" s="29" t="str">
        <f>=Dashboard!D24</f>
        <v>Adithyan N + Muhammad Sanish</v>
      </c>
      <c r="G15" s="30" t="s">
        <v>746</v>
      </c>
      <c r="H15" s="26" t="s">
        <v>746</v>
      </c>
      <c r="I15" s="31" t="s">
        <v>746</v>
      </c>
      <c r="J15" s="32" t="s">
        <v>746</v>
      </c>
      <c r="K15" s="26" t="s">
        <v>746</v>
      </c>
      <c r="L15" s="33" t="s">
        <v>746</v>
      </c>
      <c r="M15" s="34" t="s">
        <v>746</v>
      </c>
      <c r="N15" s="26" t="s">
        <v>746</v>
      </c>
      <c r="O15" s="35" t="s">
        <v>746</v>
      </c>
    </row>
    <row r="16" ht="18" customHeight="1" spans="1:15" x14ac:dyDescent="0.25">
      <c r="A16" s="25" t="s">
        <v>746</v>
      </c>
      <c r="B16" s="26" t="s">
        <v>746</v>
      </c>
      <c r="C16" s="27" t="s">
        <v>746</v>
      </c>
      <c r="D16" s="28" t="str">
        <f>=Dashboard!A25</f>
        <v>TASK-DB-001</v>
      </c>
      <c r="E16" s="26" t="str">
        <f>=Dashboard!C25</f>
        <v>User schema</v>
      </c>
      <c r="F16" s="29" t="str">
        <f>=Dashboard!D25</f>
        <v>Fathima Hana</v>
      </c>
      <c r="G16" s="30" t="s">
        <v>746</v>
      </c>
      <c r="H16" s="26" t="s">
        <v>746</v>
      </c>
      <c r="I16" s="31" t="s">
        <v>746</v>
      </c>
      <c r="J16" s="32" t="s">
        <v>746</v>
      </c>
      <c r="K16" s="26" t="s">
        <v>746</v>
      </c>
      <c r="L16" s="33" t="s">
        <v>746</v>
      </c>
      <c r="M16" s="34" t="s">
        <v>746</v>
      </c>
      <c r="N16" s="26" t="s">
        <v>746</v>
      </c>
      <c r="O16" s="35" t="s">
        <v>746</v>
      </c>
    </row>
    <row r="17" ht="18" customHeight="1" spans="1:15" x14ac:dyDescent="0.25">
      <c r="A17" s="25" t="s">
        <v>746</v>
      </c>
      <c r="B17" s="26" t="s">
        <v>746</v>
      </c>
      <c r="C17" s="27" t="s">
        <v>746</v>
      </c>
      <c r="D17" s="28" t="str">
        <f>=Dashboard!A26</f>
        <v>TASK-DB-002</v>
      </c>
      <c r="E17" s="26" t="str">
        <f>=Dashboard!C26</f>
        <v>Role schema</v>
      </c>
      <c r="F17" s="29" t="str">
        <f>=Dashboard!D26</f>
        <v>Fathima Hana</v>
      </c>
      <c r="G17" s="30" t="s">
        <v>746</v>
      </c>
      <c r="H17" s="26" t="s">
        <v>746</v>
      </c>
      <c r="I17" s="31" t="s">
        <v>746</v>
      </c>
      <c r="J17" s="32" t="s">
        <v>746</v>
      </c>
      <c r="K17" s="26" t="s">
        <v>746</v>
      </c>
      <c r="L17" s="33" t="s">
        <v>746</v>
      </c>
      <c r="M17" s="34" t="s">
        <v>746</v>
      </c>
      <c r="N17" s="26" t="s">
        <v>746</v>
      </c>
      <c r="O17" s="35" t="s">
        <v>746</v>
      </c>
    </row>
    <row r="18" ht="18" customHeight="1" spans="1:15" x14ac:dyDescent="0.25">
      <c r="A18" s="25" t="s">
        <v>746</v>
      </c>
      <c r="B18" s="26" t="s">
        <v>746</v>
      </c>
      <c r="C18" s="27" t="s">
        <v>746</v>
      </c>
      <c r="D18" s="28" t="str">
        <f>=Dashboard!A27</f>
        <v>TASK-DB-003</v>
      </c>
      <c r="E18" s="26" t="str">
        <f>=Dashboard!C27</f>
        <v>Permission schema</v>
      </c>
      <c r="F18" s="29" t="str">
        <f>=Dashboard!D27</f>
        <v>Fathima Hana</v>
      </c>
      <c r="G18" s="30" t="s">
        <v>746</v>
      </c>
      <c r="H18" s="26" t="s">
        <v>746</v>
      </c>
      <c r="I18" s="31" t="s">
        <v>746</v>
      </c>
      <c r="J18" s="32" t="s">
        <v>746</v>
      </c>
      <c r="K18" s="26" t="s">
        <v>746</v>
      </c>
      <c r="L18" s="33" t="s">
        <v>746</v>
      </c>
      <c r="M18" s="34" t="s">
        <v>746</v>
      </c>
      <c r="N18" s="26" t="s">
        <v>746</v>
      </c>
      <c r="O18" s="35" t="s">
        <v>746</v>
      </c>
    </row>
    <row r="19" ht="18" customHeight="1" spans="1:15" x14ac:dyDescent="0.25">
      <c r="A19" s="25" t="s">
        <v>746</v>
      </c>
      <c r="B19" s="26" t="s">
        <v>746</v>
      </c>
      <c r="C19" s="27" t="s">
        <v>746</v>
      </c>
      <c r="D19" s="28" t="str">
        <f>=Dashboard!A28</f>
        <v>TASK-DB-004</v>
      </c>
      <c r="E19" s="26" t="str">
        <f>=Dashboard!C28</f>
        <v>Department schema</v>
      </c>
      <c r="F19" s="29" t="str">
        <f>=Dashboard!D28</f>
        <v>Fathima Hana</v>
      </c>
      <c r="G19" s="30" t="s">
        <v>746</v>
      </c>
      <c r="H19" s="26" t="s">
        <v>746</v>
      </c>
      <c r="I19" s="31" t="s">
        <v>746</v>
      </c>
      <c r="J19" s="32" t="s">
        <v>746</v>
      </c>
      <c r="K19" s="26" t="s">
        <v>746</v>
      </c>
      <c r="L19" s="33" t="s">
        <v>746</v>
      </c>
      <c r="M19" s="34" t="s">
        <v>746</v>
      </c>
      <c r="N19" s="26" t="s">
        <v>746</v>
      </c>
      <c r="O19" s="35" t="s">
        <v>746</v>
      </c>
    </row>
    <row r="20" ht="18" customHeight="1" spans="1:15" x14ac:dyDescent="0.25">
      <c r="A20" s="25" t="s">
        <v>746</v>
      </c>
      <c r="B20" s="26" t="s">
        <v>746</v>
      </c>
      <c r="C20" s="27" t="s">
        <v>746</v>
      </c>
      <c r="D20" s="28" t="str">
        <f>=Dashboard!A29</f>
        <v>TASK-DB-005</v>
      </c>
      <c r="E20" s="26" t="str">
        <f>=Dashboard!C29</f>
        <v>Complaint schema</v>
      </c>
      <c r="F20" s="29" t="str">
        <f>=Dashboard!D29</f>
        <v>Fathima Hana</v>
      </c>
      <c r="G20" s="30" t="s">
        <v>746</v>
      </c>
      <c r="H20" s="26" t="s">
        <v>746</v>
      </c>
      <c r="I20" s="31" t="s">
        <v>746</v>
      </c>
      <c r="J20" s="32" t="s">
        <v>746</v>
      </c>
      <c r="K20" s="26" t="s">
        <v>746</v>
      </c>
      <c r="L20" s="33" t="s">
        <v>746</v>
      </c>
      <c r="M20" s="34" t="s">
        <v>746</v>
      </c>
      <c r="N20" s="26" t="s">
        <v>746</v>
      </c>
      <c r="O20" s="35" t="s">
        <v>746</v>
      </c>
    </row>
    <row r="21" ht="18" customHeight="1" spans="1:15" x14ac:dyDescent="0.25">
      <c r="A21" s="25" t="s">
        <v>746</v>
      </c>
      <c r="B21" s="26" t="s">
        <v>746</v>
      </c>
      <c r="C21" s="27" t="s">
        <v>746</v>
      </c>
      <c r="D21" s="28" t="str">
        <f>=Dashboard!A30</f>
        <v>TASK-DB-006</v>
      </c>
      <c r="E21" s="26" t="str">
        <f>=Dashboard!C30</f>
        <v>Complaint assignment schema</v>
      </c>
      <c r="F21" s="29" t="str">
        <f>=Dashboard!D30</f>
        <v>Fathima Hana</v>
      </c>
      <c r="G21" s="30" t="s">
        <v>746</v>
      </c>
      <c r="H21" s="26" t="s">
        <v>746</v>
      </c>
      <c r="I21" s="31" t="s">
        <v>746</v>
      </c>
      <c r="J21" s="32" t="s">
        <v>746</v>
      </c>
      <c r="K21" s="26" t="s">
        <v>746</v>
      </c>
      <c r="L21" s="33" t="s">
        <v>746</v>
      </c>
      <c r="M21" s="34" t="s">
        <v>746</v>
      </c>
      <c r="N21" s="26" t="s">
        <v>746</v>
      </c>
      <c r="O21" s="35" t="s">
        <v>746</v>
      </c>
    </row>
    <row r="22" ht="18" customHeight="1" spans="1:15" x14ac:dyDescent="0.25">
      <c r="A22" s="25" t="s">
        <v>746</v>
      </c>
      <c r="B22" s="26" t="s">
        <v>746</v>
      </c>
      <c r="C22" s="27" t="s">
        <v>746</v>
      </c>
      <c r="D22" s="28" t="str">
        <f>=Dashboard!A31</f>
        <v>TASK-DB-007</v>
      </c>
      <c r="E22" s="26" t="str">
        <f>=Dashboard!C31</f>
        <v>File tracking schema</v>
      </c>
      <c r="F22" s="29" t="str">
        <f>=Dashboard!D31</f>
        <v>Fathima Hana</v>
      </c>
      <c r="G22" s="30" t="s">
        <v>746</v>
      </c>
      <c r="H22" s="26" t="s">
        <v>746</v>
      </c>
      <c r="I22" s="31" t="s">
        <v>746</v>
      </c>
      <c r="J22" s="32" t="s">
        <v>746</v>
      </c>
      <c r="K22" s="26" t="s">
        <v>746</v>
      </c>
      <c r="L22" s="33" t="s">
        <v>746</v>
      </c>
      <c r="M22" s="34" t="s">
        <v>746</v>
      </c>
      <c r="N22" s="26" t="s">
        <v>746</v>
      </c>
      <c r="O22" s="35" t="s">
        <v>746</v>
      </c>
    </row>
    <row r="23" ht="18" customHeight="1" spans="1:15" x14ac:dyDescent="0.25">
      <c r="A23" s="25" t="s">
        <v>746</v>
      </c>
      <c r="B23" s="26" t="s">
        <v>746</v>
      </c>
      <c r="C23" s="27" t="s">
        <v>746</v>
      </c>
      <c r="D23" s="28" t="str">
        <f>=Dashboard!A32</f>
        <v>TASK-DB-008</v>
      </c>
      <c r="E23" s="26" t="str">
        <f>=Dashboard!C32</f>
        <v>Feedback schema</v>
      </c>
      <c r="F23" s="29" t="str">
        <f>=Dashboard!D32</f>
        <v>Fathima Hana</v>
      </c>
      <c r="G23" s="30" t="s">
        <v>746</v>
      </c>
      <c r="H23" s="26" t="s">
        <v>746</v>
      </c>
      <c r="I23" s="31" t="s">
        <v>746</v>
      </c>
      <c r="J23" s="32" t="s">
        <v>746</v>
      </c>
      <c r="K23" s="26" t="s">
        <v>746</v>
      </c>
      <c r="L23" s="33" t="s">
        <v>746</v>
      </c>
      <c r="M23" s="34" t="s">
        <v>746</v>
      </c>
      <c r="N23" s="26" t="s">
        <v>746</v>
      </c>
      <c r="O23" s="35" t="s">
        <v>746</v>
      </c>
    </row>
    <row r="24" ht="18" customHeight="1" spans="1:15" x14ac:dyDescent="0.25">
      <c r="A24" s="25" t="s">
        <v>746</v>
      </c>
      <c r="B24" s="26" t="s">
        <v>746</v>
      </c>
      <c r="C24" s="27" t="s">
        <v>746</v>
      </c>
      <c r="D24" s="28" t="str">
        <f>=Dashboard!A33</f>
        <v>TASK-DB-009</v>
      </c>
      <c r="E24" s="26" t="str">
        <f>=Dashboard!C33</f>
        <v>Attendance schema</v>
      </c>
      <c r="F24" s="29" t="str">
        <f>=Dashboard!D33</f>
        <v>Fathima Hana</v>
      </c>
      <c r="G24" s="30" t="s">
        <v>746</v>
      </c>
      <c r="H24" s="26" t="s">
        <v>746</v>
      </c>
      <c r="I24" s="31" t="s">
        <v>746</v>
      </c>
      <c r="J24" s="32" t="s">
        <v>746</v>
      </c>
      <c r="K24" s="26" t="s">
        <v>746</v>
      </c>
      <c r="L24" s="33" t="s">
        <v>746</v>
      </c>
      <c r="M24" s="34" t="s">
        <v>746</v>
      </c>
      <c r="N24" s="26" t="s">
        <v>746</v>
      </c>
      <c r="O24" s="35" t="s">
        <v>746</v>
      </c>
    </row>
    <row r="25" ht="18" customHeight="1" spans="1:15" x14ac:dyDescent="0.25">
      <c r="A25" s="25" t="s">
        <v>746</v>
      </c>
      <c r="B25" s="26" t="s">
        <v>746</v>
      </c>
      <c r="C25" s="27" t="s">
        <v>746</v>
      </c>
      <c r="D25" s="28" t="str">
        <f>=Dashboard!A34</f>
        <v>TASK-DB-010</v>
      </c>
      <c r="E25" s="26" t="str">
        <f>=Dashboard!C34</f>
        <v>Notification schema</v>
      </c>
      <c r="F25" s="29" t="str">
        <f>=Dashboard!D34</f>
        <v>Fathima Hana</v>
      </c>
      <c r="G25" s="30" t="s">
        <v>746</v>
      </c>
      <c r="H25" s="26" t="s">
        <v>746</v>
      </c>
      <c r="I25" s="31" t="s">
        <v>746</v>
      </c>
      <c r="J25" s="32" t="s">
        <v>746</v>
      </c>
      <c r="K25" s="26" t="s">
        <v>746</v>
      </c>
      <c r="L25" s="33" t="s">
        <v>746</v>
      </c>
      <c r="M25" s="34" t="s">
        <v>746</v>
      </c>
      <c r="N25" s="26" t="s">
        <v>746</v>
      </c>
      <c r="O25" s="35" t="s">
        <v>746</v>
      </c>
    </row>
    <row r="26" ht="18" customHeight="1" spans="1:15" x14ac:dyDescent="0.25">
      <c r="A26" s="25" t="s">
        <v>746</v>
      </c>
      <c r="B26" s="26" t="s">
        <v>746</v>
      </c>
      <c r="C26" s="27" t="s">
        <v>746</v>
      </c>
      <c r="D26" s="28" t="str">
        <f>=Dashboard!A35</f>
        <v>TASK-DB-011</v>
      </c>
      <c r="E26" s="26" t="str">
        <f>=Dashboard!C35</f>
        <v>Audit log schema</v>
      </c>
      <c r="F26" s="29" t="str">
        <f>=Dashboard!D35</f>
        <v>Fathima Hana</v>
      </c>
      <c r="G26" s="30" t="s">
        <v>746</v>
      </c>
      <c r="H26" s="26" t="s">
        <v>746</v>
      </c>
      <c r="I26" s="31" t="s">
        <v>746</v>
      </c>
      <c r="J26" s="32" t="s">
        <v>746</v>
      </c>
      <c r="K26" s="26" t="s">
        <v>746</v>
      </c>
      <c r="L26" s="33" t="s">
        <v>746</v>
      </c>
      <c r="M26" s="34" t="s">
        <v>746</v>
      </c>
      <c r="N26" s="26" t="s">
        <v>746</v>
      </c>
      <c r="O26" s="35" t="s">
        <v>746</v>
      </c>
    </row>
    <row r="27" ht="18" customHeight="1" spans="1:15" x14ac:dyDescent="0.25">
      <c r="A27" s="25" t="s">
        <v>746</v>
      </c>
      <c r="B27" s="26" t="s">
        <v>746</v>
      </c>
      <c r="C27" s="27" t="s">
        <v>746</v>
      </c>
      <c r="D27" s="28" t="str">
        <f>=Dashboard!A36</f>
        <v>TASK-DB-012</v>
      </c>
      <c r="E27" s="26" t="str">
        <f>=Dashboard!C36</f>
        <v>Chatbot session schema</v>
      </c>
      <c r="F27" s="29" t="str">
        <f>=Dashboard!D36</f>
        <v>Fathima Hana</v>
      </c>
      <c r="G27" s="30" t="s">
        <v>746</v>
      </c>
      <c r="H27" s="26" t="s">
        <v>746</v>
      </c>
      <c r="I27" s="31" t="s">
        <v>746</v>
      </c>
      <c r="J27" s="32" t="s">
        <v>746</v>
      </c>
      <c r="K27" s="26" t="s">
        <v>746</v>
      </c>
      <c r="L27" s="33" t="s">
        <v>746</v>
      </c>
      <c r="M27" s="34" t="s">
        <v>746</v>
      </c>
      <c r="N27" s="26" t="s">
        <v>746</v>
      </c>
      <c r="O27" s="35" t="s">
        <v>746</v>
      </c>
    </row>
    <row r="28" ht="18" customHeight="1" spans="1:15" x14ac:dyDescent="0.25">
      <c r="A28" s="25" t="s">
        <v>746</v>
      </c>
      <c r="B28" s="26" t="s">
        <v>746</v>
      </c>
      <c r="C28" s="27" t="s">
        <v>746</v>
      </c>
      <c r="D28" s="28" t="str">
        <f>=Dashboard!A37</f>
        <v>TASK-DB-013</v>
      </c>
      <c r="E28" s="26" t="str">
        <f>=Dashboard!C37</f>
        <v>Indexes</v>
      </c>
      <c r="F28" s="29" t="str">
        <f>=Dashboard!D37</f>
        <v>Fathima Hana</v>
      </c>
      <c r="G28" s="30" t="s">
        <v>746</v>
      </c>
      <c r="H28" s="26" t="s">
        <v>746</v>
      </c>
      <c r="I28" s="31" t="s">
        <v>746</v>
      </c>
      <c r="J28" s="32" t="s">
        <v>746</v>
      </c>
      <c r="K28" s="26" t="s">
        <v>746</v>
      </c>
      <c r="L28" s="33" t="s">
        <v>746</v>
      </c>
      <c r="M28" s="34" t="s">
        <v>746</v>
      </c>
      <c r="N28" s="26" t="s">
        <v>746</v>
      </c>
      <c r="O28" s="35" t="s">
        <v>746</v>
      </c>
    </row>
    <row r="29" ht="18" customHeight="1" spans="1:15" x14ac:dyDescent="0.25">
      <c r="A29" s="25" t="s">
        <v>746</v>
      </c>
      <c r="B29" s="26" t="s">
        <v>746</v>
      </c>
      <c r="C29" s="27" t="s">
        <v>746</v>
      </c>
      <c r="D29" s="28" t="str">
        <f>=Dashboard!A38</f>
        <v>TASK-DB-014</v>
      </c>
      <c r="E29" s="26" t="str">
        <f>=Dashboard!C38</f>
        <v>Relationships</v>
      </c>
      <c r="F29" s="29" t="str">
        <f>=Dashboard!D38</f>
        <v>Fathima Hana</v>
      </c>
      <c r="G29" s="30" t="s">
        <v>746</v>
      </c>
      <c r="H29" s="26" t="s">
        <v>746</v>
      </c>
      <c r="I29" s="31" t="s">
        <v>746</v>
      </c>
      <c r="J29" s="32" t="s">
        <v>746</v>
      </c>
      <c r="K29" s="26" t="s">
        <v>746</v>
      </c>
      <c r="L29" s="33" t="s">
        <v>746</v>
      </c>
      <c r="M29" s="34" t="s">
        <v>746</v>
      </c>
      <c r="N29" s="26" t="s">
        <v>746</v>
      </c>
      <c r="O29" s="35" t="s">
        <v>746</v>
      </c>
    </row>
    <row r="30" ht="18" customHeight="1" spans="1:15" x14ac:dyDescent="0.25">
      <c r="A30" s="25" t="s">
        <v>746</v>
      </c>
      <c r="B30" s="26" t="s">
        <v>746</v>
      </c>
      <c r="C30" s="27" t="s">
        <v>746</v>
      </c>
      <c r="D30" s="28" t="str">
        <f>=Dashboard!A39</f>
        <v>TASK-DB-015</v>
      </c>
      <c r="E30" s="26" t="str">
        <f>=Dashboard!C39</f>
        <v>Validation rules</v>
      </c>
      <c r="F30" s="29" t="str">
        <f>=Dashboard!D39</f>
        <v>Fathima Hana</v>
      </c>
      <c r="G30" s="30" t="s">
        <v>746</v>
      </c>
      <c r="H30" s="26" t="s">
        <v>746</v>
      </c>
      <c r="I30" s="31" t="s">
        <v>746</v>
      </c>
      <c r="J30" s="32" t="s">
        <v>746</v>
      </c>
      <c r="K30" s="26" t="s">
        <v>746</v>
      </c>
      <c r="L30" s="33" t="s">
        <v>746</v>
      </c>
      <c r="M30" s="34" t="s">
        <v>746</v>
      </c>
      <c r="N30" s="26" t="s">
        <v>746</v>
      </c>
      <c r="O30" s="35" t="s">
        <v>746</v>
      </c>
    </row>
    <row r="31" ht="18" customHeight="1" spans="1:15" x14ac:dyDescent="0.25">
      <c r="A31" s="25" t="s">
        <v>746</v>
      </c>
      <c r="B31" s="26" t="s">
        <v>746</v>
      </c>
      <c r="C31" s="27" t="s">
        <v>746</v>
      </c>
      <c r="D31" s="28" t="str">
        <f>=Dashboard!A40</f>
        <v>TASK-DB-016</v>
      </c>
      <c r="E31" s="26" t="str">
        <f>=Dashboard!C40</f>
        <v>Query optimization</v>
      </c>
      <c r="F31" s="29" t="str">
        <f>=Dashboard!D40</f>
        <v>Fathima Hana</v>
      </c>
      <c r="G31" s="30" t="s">
        <v>746</v>
      </c>
      <c r="H31" s="26" t="s">
        <v>746</v>
      </c>
      <c r="I31" s="31" t="s">
        <v>746</v>
      </c>
      <c r="J31" s="32" t="s">
        <v>746</v>
      </c>
      <c r="K31" s="26" t="s">
        <v>746</v>
      </c>
      <c r="L31" s="33" t="s">
        <v>746</v>
      </c>
      <c r="M31" s="34" t="s">
        <v>746</v>
      </c>
      <c r="N31" s="26" t="s">
        <v>746</v>
      </c>
      <c r="O31" s="35" t="s">
        <v>746</v>
      </c>
    </row>
    <row r="32" ht="18" customHeight="1" spans="1:15" x14ac:dyDescent="0.25">
      <c r="A32" s="25" t="s">
        <v>746</v>
      </c>
      <c r="B32" s="26" t="s">
        <v>746</v>
      </c>
      <c r="C32" s="27" t="s">
        <v>746</v>
      </c>
      <c r="D32" s="28" t="str">
        <f>=Dashboard!A41</f>
        <v>TASK-BE-001</v>
      </c>
      <c r="E32" s="26" t="str">
        <f>=Dashboard!C41</f>
        <v>Express setup</v>
      </c>
      <c r="F32" s="29" t="str">
        <f>=Dashboard!D41</f>
        <v>Muhammad Sanish</v>
      </c>
      <c r="G32" s="30" t="s">
        <v>746</v>
      </c>
      <c r="H32" s="26" t="s">
        <v>746</v>
      </c>
      <c r="I32" s="31" t="s">
        <v>746</v>
      </c>
      <c r="J32" s="32" t="s">
        <v>746</v>
      </c>
      <c r="K32" s="26" t="s">
        <v>746</v>
      </c>
      <c r="L32" s="33" t="s">
        <v>746</v>
      </c>
      <c r="M32" s="34" t="s">
        <v>746</v>
      </c>
      <c r="N32" s="26" t="s">
        <v>746</v>
      </c>
      <c r="O32" s="35" t="s">
        <v>746</v>
      </c>
    </row>
    <row r="33" ht="18" customHeight="1" spans="1:15" x14ac:dyDescent="0.25">
      <c r="A33" s="25" t="s">
        <v>746</v>
      </c>
      <c r="B33" s="26" t="s">
        <v>746</v>
      </c>
      <c r="C33" s="27" t="s">
        <v>746</v>
      </c>
      <c r="D33" s="28" t="str">
        <f>=Dashboard!A42</f>
        <v>TASK-BE-002</v>
      </c>
      <c r="E33" s="26" t="str">
        <f>=Dashboard!C42</f>
        <v>MongoDB connection</v>
      </c>
      <c r="F33" s="29" t="str">
        <f>=Dashboard!D42</f>
        <v>Muhammad Sanish</v>
      </c>
      <c r="G33" s="30" t="s">
        <v>746</v>
      </c>
      <c r="H33" s="26" t="s">
        <v>746</v>
      </c>
      <c r="I33" s="31" t="s">
        <v>746</v>
      </c>
      <c r="J33" s="32" t="s">
        <v>746</v>
      </c>
      <c r="K33" s="26" t="s">
        <v>746</v>
      </c>
      <c r="L33" s="33" t="s">
        <v>746</v>
      </c>
      <c r="M33" s="34" t="s">
        <v>746</v>
      </c>
      <c r="N33" s="26" t="s">
        <v>746</v>
      </c>
      <c r="O33" s="35" t="s">
        <v>746</v>
      </c>
    </row>
    <row r="34" ht="18" customHeight="1" spans="1:15" x14ac:dyDescent="0.25">
      <c r="A34" s="25" t="s">
        <v>746</v>
      </c>
      <c r="B34" s="26" t="s">
        <v>746</v>
      </c>
      <c r="C34" s="27" t="s">
        <v>746</v>
      </c>
      <c r="D34" s="28" t="str">
        <f>=Dashboard!A43</f>
        <v>TASK-BE-003</v>
      </c>
      <c r="E34" s="26" t="str">
        <f>=Dashboard!C43</f>
        <v>Environment configuration</v>
      </c>
      <c r="F34" s="29" t="str">
        <f>=Dashboard!D43</f>
        <v>Muhammad Sanish</v>
      </c>
      <c r="G34" s="30" t="s">
        <v>746</v>
      </c>
      <c r="H34" s="26" t="s">
        <v>746</v>
      </c>
      <c r="I34" s="31" t="s">
        <v>746</v>
      </c>
      <c r="J34" s="32" t="s">
        <v>746</v>
      </c>
      <c r="K34" s="26" t="s">
        <v>746</v>
      </c>
      <c r="L34" s="33" t="s">
        <v>746</v>
      </c>
      <c r="M34" s="34" t="s">
        <v>746</v>
      </c>
      <c r="N34" s="26" t="s">
        <v>746</v>
      </c>
      <c r="O34" s="35" t="s">
        <v>746</v>
      </c>
    </row>
    <row r="35" ht="18" customHeight="1" spans="1:15" x14ac:dyDescent="0.25">
      <c r="A35" s="25" t="s">
        <v>746</v>
      </c>
      <c r="B35" s="26" t="s">
        <v>746</v>
      </c>
      <c r="C35" s="27" t="s">
        <v>746</v>
      </c>
      <c r="D35" s="28" t="str">
        <f>=Dashboard!A44</f>
        <v>TASK-BE-004</v>
      </c>
      <c r="E35" s="26" t="str">
        <f>=Dashboard!C44</f>
        <v>Authentication APIs</v>
      </c>
      <c r="F35" s="29" t="str">
        <f>=Dashboard!D44</f>
        <v>Muhammad Sanish</v>
      </c>
      <c r="G35" s="30" t="s">
        <v>746</v>
      </c>
      <c r="H35" s="26" t="s">
        <v>746</v>
      </c>
      <c r="I35" s="31" t="s">
        <v>746</v>
      </c>
      <c r="J35" s="32" t="s">
        <v>746</v>
      </c>
      <c r="K35" s="26" t="s">
        <v>746</v>
      </c>
      <c r="L35" s="33" t="s">
        <v>746</v>
      </c>
      <c r="M35" s="34" t="s">
        <v>746</v>
      </c>
      <c r="N35" s="26" t="s">
        <v>746</v>
      </c>
      <c r="O35" s="35" t="s">
        <v>746</v>
      </c>
    </row>
    <row r="36" ht="18" customHeight="1" spans="1:15" x14ac:dyDescent="0.25">
      <c r="A36" s="25" t="s">
        <v>746</v>
      </c>
      <c r="B36" s="26" t="s">
        <v>746</v>
      </c>
      <c r="C36" s="27" t="s">
        <v>746</v>
      </c>
      <c r="D36" s="28" t="str">
        <f>=Dashboard!A45</f>
        <v>TASK-BE-005</v>
      </c>
      <c r="E36" s="26" t="str">
        <f>=Dashboard!C45</f>
        <v>JWT implementation</v>
      </c>
      <c r="F36" s="29" t="str">
        <f>=Dashboard!D45</f>
        <v>Muhammad Sanish</v>
      </c>
      <c r="G36" s="30" t="s">
        <v>746</v>
      </c>
      <c r="H36" s="26" t="s">
        <v>746</v>
      </c>
      <c r="I36" s="31" t="s">
        <v>746</v>
      </c>
      <c r="J36" s="32" t="s">
        <v>746</v>
      </c>
      <c r="K36" s="26" t="s">
        <v>746</v>
      </c>
      <c r="L36" s="33" t="s">
        <v>746</v>
      </c>
      <c r="M36" s="34" t="s">
        <v>746</v>
      </c>
      <c r="N36" s="26" t="s">
        <v>746</v>
      </c>
      <c r="O36" s="35" t="s">
        <v>746</v>
      </c>
    </row>
    <row r="37" ht="18" customHeight="1" spans="1:15" x14ac:dyDescent="0.25">
      <c r="A37" s="25" t="s">
        <v>746</v>
      </c>
      <c r="B37" s="26" t="s">
        <v>746</v>
      </c>
      <c r="C37" s="27" t="s">
        <v>746</v>
      </c>
      <c r="D37" s="28" t="str">
        <f>=Dashboard!A46</f>
        <v>TASK-BE-006</v>
      </c>
      <c r="E37" s="26" t="str">
        <f>=Dashboard!C46</f>
        <v>Refresh token API</v>
      </c>
      <c r="F37" s="29" t="str">
        <f>=Dashboard!D46</f>
        <v>Muhammad Sanish</v>
      </c>
      <c r="G37" s="30" t="s">
        <v>746</v>
      </c>
      <c r="H37" s="26" t="s">
        <v>746</v>
      </c>
      <c r="I37" s="31" t="s">
        <v>746</v>
      </c>
      <c r="J37" s="32" t="s">
        <v>746</v>
      </c>
      <c r="K37" s="26" t="s">
        <v>746</v>
      </c>
      <c r="L37" s="33" t="s">
        <v>746</v>
      </c>
      <c r="M37" s="34" t="s">
        <v>746</v>
      </c>
      <c r="N37" s="26" t="s">
        <v>746</v>
      </c>
      <c r="O37" s="35" t="s">
        <v>746</v>
      </c>
    </row>
    <row r="38" ht="18" customHeight="1" spans="1:15" x14ac:dyDescent="0.25">
      <c r="A38" s="25" t="s">
        <v>746</v>
      </c>
      <c r="B38" s="26" t="s">
        <v>746</v>
      </c>
      <c r="C38" s="27" t="s">
        <v>746</v>
      </c>
      <c r="D38" s="28" t="str">
        <f>=Dashboard!A47</f>
        <v>TASK-BE-007</v>
      </c>
      <c r="E38" s="26" t="str">
        <f>=Dashboard!C47</f>
        <v>Logout API</v>
      </c>
      <c r="F38" s="29" t="str">
        <f>=Dashboard!D47</f>
        <v>Muhammad Sanish</v>
      </c>
      <c r="G38" s="30" t="s">
        <v>746</v>
      </c>
      <c r="H38" s="26" t="s">
        <v>746</v>
      </c>
      <c r="I38" s="31" t="s">
        <v>746</v>
      </c>
      <c r="J38" s="32" t="s">
        <v>746</v>
      </c>
      <c r="K38" s="26" t="s">
        <v>746</v>
      </c>
      <c r="L38" s="33" t="s">
        <v>746</v>
      </c>
      <c r="M38" s="34" t="s">
        <v>746</v>
      </c>
      <c r="N38" s="26" t="s">
        <v>746</v>
      </c>
      <c r="O38" s="35" t="s">
        <v>746</v>
      </c>
    </row>
    <row r="39" ht="18" customHeight="1" spans="1:15" x14ac:dyDescent="0.25">
      <c r="A39" s="25" t="s">
        <v>746</v>
      </c>
      <c r="B39" s="26" t="s">
        <v>746</v>
      </c>
      <c r="C39" s="27" t="s">
        <v>746</v>
      </c>
      <c r="D39" s="28" t="str">
        <f>=Dashboard!A48</f>
        <v>TASK-BE-008</v>
      </c>
      <c r="E39" s="26" t="str">
        <f>=Dashboard!C48</f>
        <v>RBAC middleware</v>
      </c>
      <c r="F39" s="29" t="str">
        <f>=Dashboard!D48</f>
        <v>Muhammad Sanish</v>
      </c>
      <c r="G39" s="30" t="s">
        <v>746</v>
      </c>
      <c r="H39" s="26" t="s">
        <v>746</v>
      </c>
      <c r="I39" s="31" t="s">
        <v>746</v>
      </c>
      <c r="J39" s="32" t="s">
        <v>746</v>
      </c>
      <c r="K39" s="26" t="s">
        <v>746</v>
      </c>
      <c r="L39" s="33" t="s">
        <v>746</v>
      </c>
      <c r="M39" s="34" t="s">
        <v>746</v>
      </c>
      <c r="N39" s="26" t="s">
        <v>746</v>
      </c>
      <c r="O39" s="35" t="s">
        <v>746</v>
      </c>
    </row>
    <row r="40" ht="18" customHeight="1" spans="1:15" x14ac:dyDescent="0.25">
      <c r="A40" s="25" t="s">
        <v>746</v>
      </c>
      <c r="B40" s="26" t="s">
        <v>746</v>
      </c>
      <c r="C40" s="27" t="s">
        <v>746</v>
      </c>
      <c r="D40" s="28" t="str">
        <f>=Dashboard!A49</f>
        <v>TASK-BE-009</v>
      </c>
      <c r="E40" s="26" t="str">
        <f>=Dashboard!C49</f>
        <v>Audit logging</v>
      </c>
      <c r="F40" s="29" t="str">
        <f>=Dashboard!D49</f>
        <v>Muhammad Sanish</v>
      </c>
      <c r="G40" s="30" t="s">
        <v>746</v>
      </c>
      <c r="H40" s="26" t="s">
        <v>746</v>
      </c>
      <c r="I40" s="31" t="s">
        <v>746</v>
      </c>
      <c r="J40" s="32" t="s">
        <v>746</v>
      </c>
      <c r="K40" s="26" t="s">
        <v>746</v>
      </c>
      <c r="L40" s="33" t="s">
        <v>746</v>
      </c>
      <c r="M40" s="34" t="s">
        <v>746</v>
      </c>
      <c r="N40" s="26" t="s">
        <v>746</v>
      </c>
      <c r="O40" s="35" t="s">
        <v>746</v>
      </c>
    </row>
    <row r="41" ht="18" customHeight="1" spans="1:15" x14ac:dyDescent="0.25">
      <c r="A41" s="25" t="s">
        <v>746</v>
      </c>
      <c r="B41" s="26" t="s">
        <v>746</v>
      </c>
      <c r="C41" s="27" t="s">
        <v>746</v>
      </c>
      <c r="D41" s="28" t="str">
        <f>=Dashboard!A50</f>
        <v>TASK-BE-010</v>
      </c>
      <c r="E41" s="26" t="str">
        <f>=Dashboard!C50</f>
        <v>Error middleware</v>
      </c>
      <c r="F41" s="29" t="str">
        <f>=Dashboard!D50</f>
        <v>Muhammad Sanish</v>
      </c>
      <c r="G41" s="30" t="s">
        <v>746</v>
      </c>
      <c r="H41" s="26" t="s">
        <v>746</v>
      </c>
      <c r="I41" s="31" t="s">
        <v>746</v>
      </c>
      <c r="J41" s="32" t="s">
        <v>746</v>
      </c>
      <c r="K41" s="26" t="s">
        <v>746</v>
      </c>
      <c r="L41" s="33" t="s">
        <v>746</v>
      </c>
      <c r="M41" s="34" t="s">
        <v>746</v>
      </c>
      <c r="N41" s="26" t="s">
        <v>746</v>
      </c>
      <c r="O41" s="35" t="s">
        <v>746</v>
      </c>
    </row>
    <row r="42" ht="18" customHeight="1" spans="1:15" x14ac:dyDescent="0.25">
      <c r="A42" s="25" t="s">
        <v>746</v>
      </c>
      <c r="B42" s="26" t="s">
        <v>746</v>
      </c>
      <c r="C42" s="27" t="s">
        <v>746</v>
      </c>
      <c r="D42" s="28" t="str">
        <f>=Dashboard!A51</f>
        <v>TASK-BE-011</v>
      </c>
      <c r="E42" s="26" t="str">
        <f>=Dashboard!C51</f>
        <v>Validation middleware</v>
      </c>
      <c r="F42" s="29" t="str">
        <f>=Dashboard!D51</f>
        <v>Muhammad Sanish</v>
      </c>
      <c r="G42" s="30" t="s">
        <v>746</v>
      </c>
      <c r="H42" s="26" t="s">
        <v>746</v>
      </c>
      <c r="I42" s="31" t="s">
        <v>746</v>
      </c>
      <c r="J42" s="32" t="s">
        <v>746</v>
      </c>
      <c r="K42" s="26" t="s">
        <v>746</v>
      </c>
      <c r="L42" s="33" t="s">
        <v>746</v>
      </c>
      <c r="M42" s="34" t="s">
        <v>746</v>
      </c>
      <c r="N42" s="26" t="s">
        <v>746</v>
      </c>
      <c r="O42" s="35" t="s">
        <v>746</v>
      </c>
    </row>
    <row r="43" ht="18" customHeight="1" spans="1:15" x14ac:dyDescent="0.25">
      <c r="A43" s="25" t="s">
        <v>746</v>
      </c>
      <c r="B43" s="26" t="s">
        <v>746</v>
      </c>
      <c r="C43" s="27" t="s">
        <v>746</v>
      </c>
      <c r="D43" s="28" t="str">
        <f>=Dashboard!A52</f>
        <v>TASK-BE-012</v>
      </c>
      <c r="E43" s="26" t="str">
        <f>=Dashboard!C52</f>
        <v>Complaint APIs</v>
      </c>
      <c r="F43" s="29" t="str">
        <f>=Dashboard!D52</f>
        <v>Muhammad Sanish</v>
      </c>
      <c r="G43" s="30" t="s">
        <v>746</v>
      </c>
      <c r="H43" s="26" t="s">
        <v>746</v>
      </c>
      <c r="I43" s="31" t="s">
        <v>746</v>
      </c>
      <c r="J43" s="32" t="s">
        <v>746</v>
      </c>
      <c r="K43" s="26" t="s">
        <v>746</v>
      </c>
      <c r="L43" s="33" t="s">
        <v>746</v>
      </c>
      <c r="M43" s="34" t="s">
        <v>746</v>
      </c>
      <c r="N43" s="26" t="s">
        <v>746</v>
      </c>
      <c r="O43" s="35" t="s">
        <v>746</v>
      </c>
    </row>
    <row r="44" ht="18" customHeight="1" spans="1:15" x14ac:dyDescent="0.25">
      <c r="A44" s="25" t="s">
        <v>746</v>
      </c>
      <c r="B44" s="26" t="s">
        <v>746</v>
      </c>
      <c r="C44" s="27" t="s">
        <v>746</v>
      </c>
      <c r="D44" s="28" t="str">
        <f>=Dashboard!A53</f>
        <v>TASK-BE-013</v>
      </c>
      <c r="E44" s="26" t="str">
        <f>=Dashboard!C53</f>
        <v>File Tracking APIs</v>
      </c>
      <c r="F44" s="29" t="str">
        <f>=Dashboard!D53</f>
        <v>Muhammad Sanish</v>
      </c>
      <c r="G44" s="30" t="s">
        <v>746</v>
      </c>
      <c r="H44" s="26" t="s">
        <v>746</v>
      </c>
      <c r="I44" s="31" t="s">
        <v>746</v>
      </c>
      <c r="J44" s="32" t="s">
        <v>746</v>
      </c>
      <c r="K44" s="26" t="s">
        <v>746</v>
      </c>
      <c r="L44" s="33" t="s">
        <v>746</v>
      </c>
      <c r="M44" s="34" t="s">
        <v>746</v>
      </c>
      <c r="N44" s="26" t="s">
        <v>746</v>
      </c>
      <c r="O44" s="35" t="s">
        <v>746</v>
      </c>
    </row>
    <row r="45" ht="18" customHeight="1" spans="1:15" x14ac:dyDescent="0.25">
      <c r="A45" s="25" t="s">
        <v>746</v>
      </c>
      <c r="B45" s="26" t="s">
        <v>746</v>
      </c>
      <c r="C45" s="27" t="s">
        <v>746</v>
      </c>
      <c r="D45" s="28" t="str">
        <f>=Dashboard!A54</f>
        <v>TASK-BE-014</v>
      </c>
      <c r="E45" s="26" t="str">
        <f>=Dashboard!C54</f>
        <v>Feedback APIs</v>
      </c>
      <c r="F45" s="29" t="str">
        <f>=Dashboard!D54</f>
        <v>Muhammad Sanish</v>
      </c>
      <c r="G45" s="30" t="s">
        <v>746</v>
      </c>
      <c r="H45" s="26" t="s">
        <v>746</v>
      </c>
      <c r="I45" s="31" t="s">
        <v>746</v>
      </c>
      <c r="J45" s="32" t="s">
        <v>746</v>
      </c>
      <c r="K45" s="26" t="s">
        <v>746</v>
      </c>
      <c r="L45" s="33" t="s">
        <v>746</v>
      </c>
      <c r="M45" s="34" t="s">
        <v>746</v>
      </c>
      <c r="N45" s="26" t="s">
        <v>746</v>
      </c>
      <c r="O45" s="35" t="s">
        <v>746</v>
      </c>
    </row>
    <row r="46" ht="18" customHeight="1" spans="1:15" x14ac:dyDescent="0.25">
      <c r="A46" s="25" t="s">
        <v>746</v>
      </c>
      <c r="B46" s="26" t="s">
        <v>746</v>
      </c>
      <c r="C46" s="27" t="s">
        <v>746</v>
      </c>
      <c r="D46" s="28" t="str">
        <f>=Dashboard!A55</f>
        <v>TASK-BE-015</v>
      </c>
      <c r="E46" s="26" t="str">
        <f>=Dashboard!C55</f>
        <v>Attendance APIs</v>
      </c>
      <c r="F46" s="29" t="str">
        <f>=Dashboard!D55</f>
        <v>Muhammad Sanish</v>
      </c>
      <c r="G46" s="30" t="s">
        <v>746</v>
      </c>
      <c r="H46" s="26" t="s">
        <v>746</v>
      </c>
      <c r="I46" s="31" t="s">
        <v>746</v>
      </c>
      <c r="J46" s="32" t="s">
        <v>746</v>
      </c>
      <c r="K46" s="26" t="s">
        <v>746</v>
      </c>
      <c r="L46" s="33" t="s">
        <v>746</v>
      </c>
      <c r="M46" s="34" t="s">
        <v>746</v>
      </c>
      <c r="N46" s="26" t="s">
        <v>746</v>
      </c>
      <c r="O46" s="35" t="s">
        <v>746</v>
      </c>
    </row>
    <row r="47" ht="18" customHeight="1" spans="1:15" x14ac:dyDescent="0.25">
      <c r="A47" s="25" t="s">
        <v>746</v>
      </c>
      <c r="B47" s="26" t="s">
        <v>746</v>
      </c>
      <c r="C47" s="27" t="s">
        <v>746</v>
      </c>
      <c r="D47" s="28" t="str">
        <f>=Dashboard!A56</f>
        <v>TASK-BE-016</v>
      </c>
      <c r="E47" s="26" t="str">
        <f>=Dashboard!C56</f>
        <v>Admin APIs</v>
      </c>
      <c r="F47" s="29" t="str">
        <f>=Dashboard!D56</f>
        <v>Muhammad Sanish</v>
      </c>
      <c r="G47" s="30" t="s">
        <v>746</v>
      </c>
      <c r="H47" s="26" t="s">
        <v>746</v>
      </c>
      <c r="I47" s="31" t="s">
        <v>746</v>
      </c>
      <c r="J47" s="32" t="s">
        <v>746</v>
      </c>
      <c r="K47" s="26" t="s">
        <v>746</v>
      </c>
      <c r="L47" s="33" t="s">
        <v>746</v>
      </c>
      <c r="M47" s="34" t="s">
        <v>746</v>
      </c>
      <c r="N47" s="26" t="s">
        <v>746</v>
      </c>
      <c r="O47" s="35" t="s">
        <v>746</v>
      </c>
    </row>
    <row r="48" ht="18" customHeight="1" spans="1:15" x14ac:dyDescent="0.25">
      <c r="A48" s="25" t="s">
        <v>746</v>
      </c>
      <c r="B48" s="26" t="s">
        <v>746</v>
      </c>
      <c r="C48" s="27" t="s">
        <v>746</v>
      </c>
      <c r="D48" s="28" t="str">
        <f>=Dashboard!A57</f>
        <v>TASK-BE-017</v>
      </c>
      <c r="E48" s="26" t="str">
        <f>=Dashboard!C57</f>
        <v>Notification APIs</v>
      </c>
      <c r="F48" s="29" t="str">
        <f>=Dashboard!D57</f>
        <v>Muhammad Sanish</v>
      </c>
      <c r="G48" s="30" t="s">
        <v>746</v>
      </c>
      <c r="H48" s="26" t="s">
        <v>746</v>
      </c>
      <c r="I48" s="31" t="s">
        <v>746</v>
      </c>
      <c r="J48" s="32" t="s">
        <v>746</v>
      </c>
      <c r="K48" s="26" t="s">
        <v>746</v>
      </c>
      <c r="L48" s="33" t="s">
        <v>746</v>
      </c>
      <c r="M48" s="34" t="s">
        <v>746</v>
      </c>
      <c r="N48" s="26" t="s">
        <v>746</v>
      </c>
      <c r="O48" s="35" t="s">
        <v>746</v>
      </c>
    </row>
    <row r="49" ht="18" customHeight="1" spans="1:15" x14ac:dyDescent="0.25">
      <c r="A49" s="25" t="s">
        <v>746</v>
      </c>
      <c r="B49" s="26" t="s">
        <v>746</v>
      </c>
      <c r="C49" s="27" t="s">
        <v>746</v>
      </c>
      <c r="D49" s="28" t="str">
        <f>=Dashboard!A58</f>
        <v>TASK-BE-018</v>
      </c>
      <c r="E49" s="26" t="str">
        <f>=Dashboard!C58</f>
        <v>Rate limiting</v>
      </c>
      <c r="F49" s="29" t="str">
        <f>=Dashboard!D58</f>
        <v>Muhammad Sanish</v>
      </c>
      <c r="G49" s="30" t="s">
        <v>746</v>
      </c>
      <c r="H49" s="26" t="s">
        <v>746</v>
      </c>
      <c r="I49" s="31" t="s">
        <v>746</v>
      </c>
      <c r="J49" s="32" t="s">
        <v>746</v>
      </c>
      <c r="K49" s="26" t="s">
        <v>746</v>
      </c>
      <c r="L49" s="33" t="s">
        <v>746</v>
      </c>
      <c r="M49" s="34" t="s">
        <v>746</v>
      </c>
      <c r="N49" s="26" t="s">
        <v>746</v>
      </c>
      <c r="O49" s="35" t="s">
        <v>746</v>
      </c>
    </row>
    <row r="50" ht="18" customHeight="1" spans="1:15" x14ac:dyDescent="0.25">
      <c r="A50" s="25" t="s">
        <v>746</v>
      </c>
      <c r="B50" s="26" t="s">
        <v>746</v>
      </c>
      <c r="C50" s="27" t="s">
        <v>746</v>
      </c>
      <c r="D50" s="28" t="str">
        <f>=Dashboard!A59</f>
        <v>TASK-BE-019</v>
      </c>
      <c r="E50" s="26" t="str">
        <f>=Dashboard!C59</f>
        <v>Health check API</v>
      </c>
      <c r="F50" s="29" t="str">
        <f>=Dashboard!D59</f>
        <v>Muhammad Sanish</v>
      </c>
      <c r="G50" s="30" t="s">
        <v>746</v>
      </c>
      <c r="H50" s="26" t="s">
        <v>746</v>
      </c>
      <c r="I50" s="31" t="s">
        <v>746</v>
      </c>
      <c r="J50" s="32" t="s">
        <v>746</v>
      </c>
      <c r="K50" s="26" t="s">
        <v>746</v>
      </c>
      <c r="L50" s="33" t="s">
        <v>746</v>
      </c>
      <c r="M50" s="34" t="s">
        <v>746</v>
      </c>
      <c r="N50" s="26" t="s">
        <v>746</v>
      </c>
      <c r="O50" s="35" t="s">
        <v>746</v>
      </c>
    </row>
    <row r="51" ht="18" customHeight="1" spans="1:15" x14ac:dyDescent="0.25">
      <c r="A51" s="25" t="s">
        <v>746</v>
      </c>
      <c r="B51" s="26" t="s">
        <v>746</v>
      </c>
      <c r="C51" s="27" t="s">
        <v>746</v>
      </c>
      <c r="D51" s="28" t="str">
        <f>=Dashboard!A60</f>
        <v>TASK-BE-020</v>
      </c>
      <c r="E51" s="26" t="str">
        <f>=Dashboard!C60</f>
        <v>API documentation</v>
      </c>
      <c r="F51" s="29" t="str">
        <f>=Dashboard!D60</f>
        <v>Muhammad Sanish</v>
      </c>
      <c r="G51" s="30" t="s">
        <v>746</v>
      </c>
      <c r="H51" s="26" t="s">
        <v>746</v>
      </c>
      <c r="I51" s="31" t="s">
        <v>746</v>
      </c>
      <c r="J51" s="32" t="s">
        <v>746</v>
      </c>
      <c r="K51" s="26" t="s">
        <v>746</v>
      </c>
      <c r="L51" s="33" t="s">
        <v>746</v>
      </c>
      <c r="M51" s="34" t="s">
        <v>746</v>
      </c>
      <c r="N51" s="26" t="s">
        <v>746</v>
      </c>
      <c r="O51" s="35" t="s">
        <v>746</v>
      </c>
    </row>
    <row r="52" ht="18" customHeight="1" spans="1:15" x14ac:dyDescent="0.25">
      <c r="A52" s="25" t="s">
        <v>746</v>
      </c>
      <c r="B52" s="26" t="s">
        <v>746</v>
      </c>
      <c r="C52" s="27" t="s">
        <v>746</v>
      </c>
      <c r="D52" s="28" t="str">
        <f>=Dashboard!A61</f>
        <v>TASK-FE-001</v>
      </c>
      <c r="E52" s="26" t="str">
        <f>=Dashboard!C61</f>
        <v>React project setup</v>
      </c>
      <c r="F52" s="29" t="str">
        <f>=Dashboard!D61</f>
        <v>Adithyan N</v>
      </c>
      <c r="G52" s="30" t="s">
        <v>746</v>
      </c>
      <c r="H52" s="26" t="s">
        <v>746</v>
      </c>
      <c r="I52" s="31" t="s">
        <v>746</v>
      </c>
      <c r="J52" s="32" t="s">
        <v>746</v>
      </c>
      <c r="K52" s="26" t="s">
        <v>746</v>
      </c>
      <c r="L52" s="33" t="s">
        <v>746</v>
      </c>
      <c r="M52" s="34" t="s">
        <v>746</v>
      </c>
      <c r="N52" s="26" t="s">
        <v>746</v>
      </c>
      <c r="O52" s="35" t="s">
        <v>746</v>
      </c>
    </row>
    <row r="53" ht="18" customHeight="1" spans="1:15" x14ac:dyDescent="0.25">
      <c r="A53" s="25" t="s">
        <v>746</v>
      </c>
      <c r="B53" s="26" t="s">
        <v>746</v>
      </c>
      <c r="C53" s="27" t="s">
        <v>746</v>
      </c>
      <c r="D53" s="28" t="str">
        <f>=Dashboard!A62</f>
        <v>TASK-FE-002</v>
      </c>
      <c r="E53" s="26" t="str">
        <f>=Dashboard!C62</f>
        <v>Tailwind setup</v>
      </c>
      <c r="F53" s="29" t="str">
        <f>=Dashboard!D62</f>
        <v>Adithyan N</v>
      </c>
      <c r="G53" s="30" t="s">
        <v>746</v>
      </c>
      <c r="H53" s="26" t="s">
        <v>746</v>
      </c>
      <c r="I53" s="31" t="s">
        <v>746</v>
      </c>
      <c r="J53" s="32" t="s">
        <v>746</v>
      </c>
      <c r="K53" s="26" t="s">
        <v>746</v>
      </c>
      <c r="L53" s="33" t="s">
        <v>746</v>
      </c>
      <c r="M53" s="34" t="s">
        <v>746</v>
      </c>
      <c r="N53" s="26" t="s">
        <v>746</v>
      </c>
      <c r="O53" s="35" t="s">
        <v>746</v>
      </c>
    </row>
    <row r="54" ht="18" customHeight="1" spans="1:15" x14ac:dyDescent="0.25">
      <c r="A54" s="25" t="s">
        <v>746</v>
      </c>
      <c r="B54" s="26" t="s">
        <v>746</v>
      </c>
      <c r="C54" s="27" t="s">
        <v>746</v>
      </c>
      <c r="D54" s="28" t="str">
        <f>=Dashboard!A63</f>
        <v>TASK-FE-003</v>
      </c>
      <c r="E54" s="26" t="str">
        <f>=Dashboard!C63</f>
        <v>Folder structure</v>
      </c>
      <c r="F54" s="29" t="str">
        <f>=Dashboard!D63</f>
        <v>Adithyan N</v>
      </c>
      <c r="G54" s="30" t="s">
        <v>746</v>
      </c>
      <c r="H54" s="26" t="s">
        <v>746</v>
      </c>
      <c r="I54" s="31" t="s">
        <v>746</v>
      </c>
      <c r="J54" s="32" t="s">
        <v>746</v>
      </c>
      <c r="K54" s="26" t="s">
        <v>746</v>
      </c>
      <c r="L54" s="33" t="s">
        <v>746</v>
      </c>
      <c r="M54" s="34" t="s">
        <v>746</v>
      </c>
      <c r="N54" s="26" t="s">
        <v>746</v>
      </c>
      <c r="O54" s="35" t="s">
        <v>746</v>
      </c>
    </row>
    <row r="55" ht="18" customHeight="1" spans="1:15" x14ac:dyDescent="0.25">
      <c r="A55" s="25" t="s">
        <v>746</v>
      </c>
      <c r="B55" s="26" t="s">
        <v>746</v>
      </c>
      <c r="C55" s="27" t="s">
        <v>746</v>
      </c>
      <c r="D55" s="28" t="str">
        <f>=Dashboard!A64</f>
        <v>TASK-FE-004</v>
      </c>
      <c r="E55" s="26" t="str">
        <f>=Dashboard!C64</f>
        <v>Global layout</v>
      </c>
      <c r="F55" s="29" t="str">
        <f>=Dashboard!D64</f>
        <v>Adithyan N</v>
      </c>
      <c r="G55" s="30" t="s">
        <v>746</v>
      </c>
      <c r="H55" s="26" t="s">
        <v>746</v>
      </c>
      <c r="I55" s="31" t="s">
        <v>746</v>
      </c>
      <c r="J55" s="32" t="s">
        <v>746</v>
      </c>
      <c r="K55" s="26" t="s">
        <v>746</v>
      </c>
      <c r="L55" s="33" t="s">
        <v>746</v>
      </c>
      <c r="M55" s="34" t="s">
        <v>746</v>
      </c>
      <c r="N55" s="26" t="s">
        <v>746</v>
      </c>
      <c r="O55" s="35" t="s">
        <v>746</v>
      </c>
    </row>
    <row r="56" ht="18" customHeight="1" spans="1:15" x14ac:dyDescent="0.25">
      <c r="A56" s="25" t="s">
        <v>746</v>
      </c>
      <c r="B56" s="26" t="s">
        <v>746</v>
      </c>
      <c r="C56" s="27" t="s">
        <v>746</v>
      </c>
      <c r="D56" s="28" t="str">
        <f>=Dashboard!A65</f>
        <v>TASK-FE-005</v>
      </c>
      <c r="E56" s="26" t="str">
        <f>=Dashboard!C65</f>
        <v>Routing</v>
      </c>
      <c r="F56" s="29" t="str">
        <f>=Dashboard!D65</f>
        <v>Adithyan N</v>
      </c>
      <c r="G56" s="30" t="s">
        <v>746</v>
      </c>
      <c r="H56" s="26" t="s">
        <v>746</v>
      </c>
      <c r="I56" s="31" t="s">
        <v>746</v>
      </c>
      <c r="J56" s="32" t="s">
        <v>746</v>
      </c>
      <c r="K56" s="26" t="s">
        <v>746</v>
      </c>
      <c r="L56" s="33" t="s">
        <v>746</v>
      </c>
      <c r="M56" s="34" t="s">
        <v>746</v>
      </c>
      <c r="N56" s="26" t="s">
        <v>746</v>
      </c>
      <c r="O56" s="35" t="s">
        <v>746</v>
      </c>
    </row>
    <row r="57" ht="18" customHeight="1" spans="1:15" x14ac:dyDescent="0.25">
      <c r="A57" s="25" t="s">
        <v>746</v>
      </c>
      <c r="B57" s="26" t="s">
        <v>746</v>
      </c>
      <c r="C57" s="27" t="s">
        <v>746</v>
      </c>
      <c r="D57" s="28" t="str">
        <f>=Dashboard!A66</f>
        <v>TASK-FE-006</v>
      </c>
      <c r="E57" s="26" t="str">
        <f>=Dashboard!C66</f>
        <v>Protected routes</v>
      </c>
      <c r="F57" s="29" t="str">
        <f>=Dashboard!D66</f>
        <v>Adithyan N</v>
      </c>
      <c r="G57" s="30" t="s">
        <v>746</v>
      </c>
      <c r="H57" s="26" t="s">
        <v>746</v>
      </c>
      <c r="I57" s="31" t="s">
        <v>746</v>
      </c>
      <c r="J57" s="32" t="s">
        <v>746</v>
      </c>
      <c r="K57" s="26" t="s">
        <v>746</v>
      </c>
      <c r="L57" s="33" t="s">
        <v>746</v>
      </c>
      <c r="M57" s="34" t="s">
        <v>746</v>
      </c>
      <c r="N57" s="26" t="s">
        <v>746</v>
      </c>
      <c r="O57" s="35" t="s">
        <v>746</v>
      </c>
    </row>
    <row r="58" ht="18" customHeight="1" spans="1:15" x14ac:dyDescent="0.25">
      <c r="A58" s="25" t="s">
        <v>746</v>
      </c>
      <c r="B58" s="26" t="s">
        <v>746</v>
      </c>
      <c r="C58" s="27" t="s">
        <v>746</v>
      </c>
      <c r="D58" s="28" t="str">
        <f>=Dashboard!A67</f>
        <v>TASK-FE-007</v>
      </c>
      <c r="E58" s="26" t="str">
        <f>=Dashboard!C67</f>
        <v>Axios client</v>
      </c>
      <c r="F58" s="29" t="str">
        <f>=Dashboard!D67</f>
        <v>Adithyan N</v>
      </c>
      <c r="G58" s="30" t="s">
        <v>746</v>
      </c>
      <c r="H58" s="26" t="s">
        <v>746</v>
      </c>
      <c r="I58" s="31" t="s">
        <v>746</v>
      </c>
      <c r="J58" s="32" t="s">
        <v>746</v>
      </c>
      <c r="K58" s="26" t="s">
        <v>746</v>
      </c>
      <c r="L58" s="33" t="s">
        <v>746</v>
      </c>
      <c r="M58" s="34" t="s">
        <v>746</v>
      </c>
      <c r="N58" s="26" t="s">
        <v>746</v>
      </c>
      <c r="O58" s="35" t="s">
        <v>746</v>
      </c>
    </row>
    <row r="59" ht="18" customHeight="1" spans="1:15" x14ac:dyDescent="0.25">
      <c r="A59" s="25" t="s">
        <v>746</v>
      </c>
      <c r="B59" s="26" t="s">
        <v>746</v>
      </c>
      <c r="C59" s="27" t="s">
        <v>746</v>
      </c>
      <c r="D59" s="28" t="str">
        <f>=Dashboard!A68</f>
        <v>TASK-FE-008</v>
      </c>
      <c r="E59" s="26" t="str">
        <f>=Dashboard!C68</f>
        <v>API interceptors</v>
      </c>
      <c r="F59" s="29" t="str">
        <f>=Dashboard!D68</f>
        <v>Adithyan N</v>
      </c>
      <c r="G59" s="30" t="s">
        <v>746</v>
      </c>
      <c r="H59" s="26" t="s">
        <v>746</v>
      </c>
      <c r="I59" s="31" t="s">
        <v>746</v>
      </c>
      <c r="J59" s="32" t="s">
        <v>746</v>
      </c>
      <c r="K59" s="26" t="s">
        <v>746</v>
      </c>
      <c r="L59" s="33" t="s">
        <v>746</v>
      </c>
      <c r="M59" s="34" t="s">
        <v>746</v>
      </c>
      <c r="N59" s="26" t="s">
        <v>746</v>
      </c>
      <c r="O59" s="35" t="s">
        <v>746</v>
      </c>
    </row>
    <row r="60" ht="18" customHeight="1" spans="1:15" x14ac:dyDescent="0.25">
      <c r="A60" s="25" t="s">
        <v>746</v>
      </c>
      <c r="B60" s="26" t="s">
        <v>746</v>
      </c>
      <c r="C60" s="27" t="s">
        <v>746</v>
      </c>
      <c r="D60" s="28" t="str">
        <f>=Dashboard!A69</f>
        <v>TASK-FE-009</v>
      </c>
      <c r="E60" s="26" t="str">
        <f>=Dashboard!C69</f>
        <v>Authentication pages</v>
      </c>
      <c r="F60" s="29" t="str">
        <f>=Dashboard!D69</f>
        <v>Adithyan N</v>
      </c>
      <c r="G60" s="30" t="s">
        <v>746</v>
      </c>
      <c r="H60" s="26" t="s">
        <v>746</v>
      </c>
      <c r="I60" s="31" t="s">
        <v>746</v>
      </c>
      <c r="J60" s="32" t="s">
        <v>746</v>
      </c>
      <c r="K60" s="26" t="s">
        <v>746</v>
      </c>
      <c r="L60" s="33" t="s">
        <v>746</v>
      </c>
      <c r="M60" s="34" t="s">
        <v>746</v>
      </c>
      <c r="N60" s="26" t="s">
        <v>746</v>
      </c>
      <c r="O60" s="35" t="s">
        <v>746</v>
      </c>
    </row>
    <row r="61" ht="18" customHeight="1" spans="1:15" x14ac:dyDescent="0.25">
      <c r="A61" s="25" t="s">
        <v>746</v>
      </c>
      <c r="B61" s="26" t="s">
        <v>746</v>
      </c>
      <c r="C61" s="27" t="s">
        <v>746</v>
      </c>
      <c r="D61" s="28" t="str">
        <f>=Dashboard!A70</f>
        <v>TASK-FE-010</v>
      </c>
      <c r="E61" s="26" t="str">
        <f>=Dashboard!C70</f>
        <v>Citizen Dashboard</v>
      </c>
      <c r="F61" s="29" t="str">
        <f>=Dashboard!D70</f>
        <v>Adithyan N</v>
      </c>
      <c r="G61" s="30" t="s">
        <v>746</v>
      </c>
      <c r="H61" s="26" t="s">
        <v>746</v>
      </c>
      <c r="I61" s="31" t="s">
        <v>746</v>
      </c>
      <c r="J61" s="32" t="s">
        <v>746</v>
      </c>
      <c r="K61" s="26" t="s">
        <v>746</v>
      </c>
      <c r="L61" s="33" t="s">
        <v>746</v>
      </c>
      <c r="M61" s="34" t="s">
        <v>746</v>
      </c>
      <c r="N61" s="26" t="s">
        <v>746</v>
      </c>
      <c r="O61" s="35" t="s">
        <v>746</v>
      </c>
    </row>
    <row r="62" ht="18" customHeight="1" spans="1:15" x14ac:dyDescent="0.25">
      <c r="A62" s="25" t="s">
        <v>746</v>
      </c>
      <c r="B62" s="26" t="s">
        <v>746</v>
      </c>
      <c r="C62" s="27" t="s">
        <v>746</v>
      </c>
      <c r="D62" s="28" t="str">
        <f>=Dashboard!A71</f>
        <v>TASK-FE-011</v>
      </c>
      <c r="E62" s="26" t="str">
        <f>=Dashboard!C71</f>
        <v>Complaint Management UI</v>
      </c>
      <c r="F62" s="29" t="str">
        <f>=Dashboard!D71</f>
        <v>Adithyan N</v>
      </c>
      <c r="G62" s="30" t="s">
        <v>746</v>
      </c>
      <c r="H62" s="26" t="s">
        <v>746</v>
      </c>
      <c r="I62" s="31" t="s">
        <v>746</v>
      </c>
      <c r="J62" s="32" t="s">
        <v>746</v>
      </c>
      <c r="K62" s="26" t="s">
        <v>746</v>
      </c>
      <c r="L62" s="33" t="s">
        <v>746</v>
      </c>
      <c r="M62" s="34" t="s">
        <v>746</v>
      </c>
      <c r="N62" s="26" t="s">
        <v>746</v>
      </c>
      <c r="O62" s="35" t="s">
        <v>746</v>
      </c>
    </row>
    <row r="63" ht="18" customHeight="1" spans="1:15" x14ac:dyDescent="0.25">
      <c r="A63" s="25" t="s">
        <v>746</v>
      </c>
      <c r="B63" s="26" t="s">
        <v>746</v>
      </c>
      <c r="C63" s="27" t="s">
        <v>746</v>
      </c>
      <c r="D63" s="28" t="str">
        <f>=Dashboard!A72</f>
        <v>TASK-FE-012</v>
      </c>
      <c r="E63" s="26" t="str">
        <f>=Dashboard!C72</f>
        <v>File Tracking UI</v>
      </c>
      <c r="F63" s="29" t="str">
        <f>=Dashboard!D72</f>
        <v>Adithyan N</v>
      </c>
      <c r="G63" s="30" t="s">
        <v>746</v>
      </c>
      <c r="H63" s="26" t="s">
        <v>746</v>
      </c>
      <c r="I63" s="31" t="s">
        <v>746</v>
      </c>
      <c r="J63" s="32" t="s">
        <v>746</v>
      </c>
      <c r="K63" s="26" t="s">
        <v>746</v>
      </c>
      <c r="L63" s="33" t="s">
        <v>746</v>
      </c>
      <c r="M63" s="34" t="s">
        <v>746</v>
      </c>
      <c r="N63" s="26" t="s">
        <v>746</v>
      </c>
      <c r="O63" s="35" t="s">
        <v>746</v>
      </c>
    </row>
    <row r="64" ht="18" customHeight="1" spans="1:15" x14ac:dyDescent="0.25">
      <c r="A64" s="25" t="s">
        <v>746</v>
      </c>
      <c r="B64" s="26" t="s">
        <v>746</v>
      </c>
      <c r="C64" s="27" t="s">
        <v>746</v>
      </c>
      <c r="D64" s="28" t="str">
        <f>=Dashboard!A73</f>
        <v>TASK-FE-013</v>
      </c>
      <c r="E64" s="26" t="str">
        <f>=Dashboard!C73</f>
        <v>Feedback UI</v>
      </c>
      <c r="F64" s="29" t="str">
        <f>=Dashboard!D73</f>
        <v>Adithyan N</v>
      </c>
      <c r="G64" s="30" t="s">
        <v>746</v>
      </c>
      <c r="H64" s="26" t="s">
        <v>746</v>
      </c>
      <c r="I64" s="31" t="s">
        <v>746</v>
      </c>
      <c r="J64" s="32" t="s">
        <v>746</v>
      </c>
      <c r="K64" s="26" t="s">
        <v>746</v>
      </c>
      <c r="L64" s="33" t="s">
        <v>746</v>
      </c>
      <c r="M64" s="34" t="s">
        <v>746</v>
      </c>
      <c r="N64" s="26" t="s">
        <v>746</v>
      </c>
      <c r="O64" s="35" t="s">
        <v>746</v>
      </c>
    </row>
    <row r="65" ht="18" customHeight="1" spans="1:15" x14ac:dyDescent="0.25">
      <c r="A65" s="25" t="s">
        <v>746</v>
      </c>
      <c r="B65" s="26" t="s">
        <v>746</v>
      </c>
      <c r="C65" s="27" t="s">
        <v>746</v>
      </c>
      <c r="D65" s="28" t="str">
        <f>=Dashboard!A74</f>
        <v>TASK-FE-014</v>
      </c>
      <c r="E65" s="26" t="str">
        <f>=Dashboard!C74</f>
        <v>Staff Dashboard UI</v>
      </c>
      <c r="F65" s="29" t="str">
        <f>=Dashboard!D74</f>
        <v>Adithyan N</v>
      </c>
      <c r="G65" s="30" t="s">
        <v>746</v>
      </c>
      <c r="H65" s="26" t="s">
        <v>746</v>
      </c>
      <c r="I65" s="31" t="s">
        <v>746</v>
      </c>
      <c r="J65" s="32" t="s">
        <v>746</v>
      </c>
      <c r="K65" s="26" t="s">
        <v>746</v>
      </c>
      <c r="L65" s="33" t="s">
        <v>746</v>
      </c>
      <c r="M65" s="34" t="s">
        <v>746</v>
      </c>
      <c r="N65" s="26" t="s">
        <v>746</v>
      </c>
      <c r="O65" s="35" t="s">
        <v>746</v>
      </c>
    </row>
    <row r="66" ht="18" customHeight="1" spans="1:15" x14ac:dyDescent="0.25">
      <c r="A66" s="25" t="s">
        <v>746</v>
      </c>
      <c r="B66" s="26" t="s">
        <v>746</v>
      </c>
      <c r="C66" s="27" t="s">
        <v>746</v>
      </c>
      <c r="D66" s="28" t="str">
        <f>=Dashboard!A75</f>
        <v>TASK-FE-015</v>
      </c>
      <c r="E66" s="26" t="str">
        <f>=Dashboard!C75</f>
        <v>Attendance UI</v>
      </c>
      <c r="F66" s="29" t="str">
        <f>=Dashboard!D75</f>
        <v>Adithyan N</v>
      </c>
      <c r="G66" s="30" t="s">
        <v>746</v>
      </c>
      <c r="H66" s="26" t="s">
        <v>746</v>
      </c>
      <c r="I66" s="31" t="s">
        <v>746</v>
      </c>
      <c r="J66" s="32" t="s">
        <v>746</v>
      </c>
      <c r="K66" s="26" t="s">
        <v>746</v>
      </c>
      <c r="L66" s="33" t="s">
        <v>746</v>
      </c>
      <c r="M66" s="34" t="s">
        <v>746</v>
      </c>
      <c r="N66" s="26" t="s">
        <v>746</v>
      </c>
      <c r="O66" s="35" t="s">
        <v>746</v>
      </c>
    </row>
    <row r="67" ht="18" customHeight="1" spans="1:15" x14ac:dyDescent="0.25">
      <c r="A67" s="25" t="s">
        <v>746</v>
      </c>
      <c r="B67" s="26" t="s">
        <v>746</v>
      </c>
      <c r="C67" s="27" t="s">
        <v>746</v>
      </c>
      <c r="D67" s="28" t="str">
        <f>=Dashboard!A76</f>
        <v>TASK-FE-016</v>
      </c>
      <c r="E67" s="26" t="str">
        <f>=Dashboard!C76</f>
        <v>Chatbot UI</v>
      </c>
      <c r="F67" s="29" t="str">
        <f>=Dashboard!D76</f>
        <v>Adithyan N</v>
      </c>
      <c r="G67" s="30" t="s">
        <v>746</v>
      </c>
      <c r="H67" s="26" t="s">
        <v>746</v>
      </c>
      <c r="I67" s="31" t="s">
        <v>746</v>
      </c>
      <c r="J67" s="32" t="s">
        <v>746</v>
      </c>
      <c r="K67" s="26" t="s">
        <v>746</v>
      </c>
      <c r="L67" s="33" t="s">
        <v>746</v>
      </c>
      <c r="M67" s="34" t="s">
        <v>746</v>
      </c>
      <c r="N67" s="26" t="s">
        <v>746</v>
      </c>
      <c r="O67" s="35" t="s">
        <v>746</v>
      </c>
    </row>
    <row r="68" ht="18" customHeight="1" spans="1:15" x14ac:dyDescent="0.25">
      <c r="A68" s="25" t="s">
        <v>746</v>
      </c>
      <c r="B68" s="26" t="s">
        <v>746</v>
      </c>
      <c r="C68" s="27" t="s">
        <v>746</v>
      </c>
      <c r="D68" s="28" t="str">
        <f>=Dashboard!A77</f>
        <v>TASK-FE-017</v>
      </c>
      <c r="E68" s="26" t="str">
        <f>=Dashboard!C77</f>
        <v>Admin Dashboard UI</v>
      </c>
      <c r="F68" s="29" t="str">
        <f>=Dashboard!D77</f>
        <v>Adithyan N</v>
      </c>
      <c r="G68" s="30" t="s">
        <v>746</v>
      </c>
      <c r="H68" s="26" t="s">
        <v>746</v>
      </c>
      <c r="I68" s="31" t="s">
        <v>746</v>
      </c>
      <c r="J68" s="32" t="s">
        <v>746</v>
      </c>
      <c r="K68" s="26" t="s">
        <v>746</v>
      </c>
      <c r="L68" s="33" t="s">
        <v>746</v>
      </c>
      <c r="M68" s="34" t="s">
        <v>746</v>
      </c>
      <c r="N68" s="26" t="s">
        <v>746</v>
      </c>
      <c r="O68" s="35" t="s">
        <v>746</v>
      </c>
    </row>
    <row r="69" ht="18" customHeight="1" spans="1:15" x14ac:dyDescent="0.25">
      <c r="A69" s="25" t="s">
        <v>746</v>
      </c>
      <c r="B69" s="26" t="s">
        <v>746</v>
      </c>
      <c r="C69" s="27" t="s">
        <v>746</v>
      </c>
      <c r="D69" s="28" t="str">
        <f>=Dashboard!A78</f>
        <v>TASK-FE-018</v>
      </c>
      <c r="E69" s="26" t="str">
        <f>=Dashboard!C78</f>
        <v>Notifications UI</v>
      </c>
      <c r="F69" s="29" t="str">
        <f>=Dashboard!D78</f>
        <v>Adithyan N</v>
      </c>
      <c r="G69" s="30" t="s">
        <v>746</v>
      </c>
      <c r="H69" s="26" t="s">
        <v>746</v>
      </c>
      <c r="I69" s="31" t="s">
        <v>746</v>
      </c>
      <c r="J69" s="32" t="s">
        <v>746</v>
      </c>
      <c r="K69" s="26" t="s">
        <v>746</v>
      </c>
      <c r="L69" s="33" t="s">
        <v>746</v>
      </c>
      <c r="M69" s="34" t="s">
        <v>746</v>
      </c>
      <c r="N69" s="26" t="s">
        <v>746</v>
      </c>
      <c r="O69" s="35" t="s">
        <v>746</v>
      </c>
    </row>
    <row r="70" ht="18" customHeight="1" spans="1:15" x14ac:dyDescent="0.25">
      <c r="A70" s="25" t="s">
        <v>746</v>
      </c>
      <c r="B70" s="26" t="s">
        <v>746</v>
      </c>
      <c r="C70" s="27" t="s">
        <v>746</v>
      </c>
      <c r="D70" s="28" t="str">
        <f>=Dashboard!A79</f>
        <v>TASK-FE-019</v>
      </c>
      <c r="E70" s="26" t="str">
        <f>=Dashboard!C79</f>
        <v>Reusable Components</v>
      </c>
      <c r="F70" s="29" t="str">
        <f>=Dashboard!D79</f>
        <v>Adithyan N</v>
      </c>
      <c r="G70" s="30" t="s">
        <v>746</v>
      </c>
      <c r="H70" s="26" t="s">
        <v>746</v>
      </c>
      <c r="I70" s="31" t="s">
        <v>746</v>
      </c>
      <c r="J70" s="32" t="s">
        <v>746</v>
      </c>
      <c r="K70" s="26" t="s">
        <v>746</v>
      </c>
      <c r="L70" s="33" t="s">
        <v>746</v>
      </c>
      <c r="M70" s="34" t="s">
        <v>746</v>
      </c>
      <c r="N70" s="26" t="s">
        <v>746</v>
      </c>
      <c r="O70" s="35" t="s">
        <v>746</v>
      </c>
    </row>
    <row r="71" ht="18" customHeight="1" spans="1:15" x14ac:dyDescent="0.25">
      <c r="A71" s="25" t="s">
        <v>746</v>
      </c>
      <c r="B71" s="26" t="s">
        <v>746</v>
      </c>
      <c r="C71" s="27" t="s">
        <v>746</v>
      </c>
      <c r="D71" s="28" t="str">
        <f>=Dashboard!A80</f>
        <v>TASK-FE-020</v>
      </c>
      <c r="E71" s="26" t="str">
        <f>=Dashboard!C80</f>
        <v>Responsive fixes</v>
      </c>
      <c r="F71" s="29" t="str">
        <f>=Dashboard!D80</f>
        <v>Adithyan N</v>
      </c>
      <c r="G71" s="30" t="s">
        <v>746</v>
      </c>
      <c r="H71" s="26" t="s">
        <v>746</v>
      </c>
      <c r="I71" s="31" t="s">
        <v>746</v>
      </c>
      <c r="J71" s="32" t="s">
        <v>746</v>
      </c>
      <c r="K71" s="26" t="s">
        <v>746</v>
      </c>
      <c r="L71" s="33" t="s">
        <v>746</v>
      </c>
      <c r="M71" s="34" t="s">
        <v>746</v>
      </c>
      <c r="N71" s="26" t="s">
        <v>746</v>
      </c>
      <c r="O71" s="35" t="s">
        <v>746</v>
      </c>
    </row>
    <row r="72" ht="18" customHeight="1" spans="1:15" x14ac:dyDescent="0.25">
      <c r="A72" s="25" t="s">
        <v>746</v>
      </c>
      <c r="B72" s="26" t="s">
        <v>746</v>
      </c>
      <c r="C72" s="27" t="s">
        <v>746</v>
      </c>
      <c r="D72" s="28" t="str">
        <f>=Dashboard!A81</f>
        <v>TASK-FE-021</v>
      </c>
      <c r="E72" s="26" t="str">
        <f>=Dashboard!C81</f>
        <v>Frontend API integration</v>
      </c>
      <c r="F72" s="29" t="str">
        <f>=Dashboard!D81</f>
        <v>Adithyan N</v>
      </c>
      <c r="G72" s="30" t="s">
        <v>746</v>
      </c>
      <c r="H72" s="26" t="s">
        <v>746</v>
      </c>
      <c r="I72" s="31" t="s">
        <v>746</v>
      </c>
      <c r="J72" s="32" t="s">
        <v>746</v>
      </c>
      <c r="K72" s="26" t="s">
        <v>746</v>
      </c>
      <c r="L72" s="33" t="s">
        <v>746</v>
      </c>
      <c r="M72" s="34" t="s">
        <v>746</v>
      </c>
      <c r="N72" s="26" t="s">
        <v>746</v>
      </c>
      <c r="O72" s="35" t="s">
        <v>746</v>
      </c>
    </row>
    <row r="73" ht="18" customHeight="1" spans="1:15" x14ac:dyDescent="0.25">
      <c r="A73" s="25" t="s">
        <v>746</v>
      </c>
      <c r="B73" s="26" t="s">
        <v>746</v>
      </c>
      <c r="C73" s="27" t="s">
        <v>746</v>
      </c>
      <c r="D73" s="28" t="str">
        <f>=Dashboard!A82</f>
        <v>TASK-FE-022</v>
      </c>
      <c r="E73" s="26" t="str">
        <f>=Dashboard!C82</f>
        <v>Error boundaries</v>
      </c>
      <c r="F73" s="29" t="str">
        <f>=Dashboard!D82</f>
        <v>Adithyan N</v>
      </c>
      <c r="G73" s="30" t="s">
        <v>746</v>
      </c>
      <c r="H73" s="26" t="s">
        <v>746</v>
      </c>
      <c r="I73" s="31" t="s">
        <v>746</v>
      </c>
      <c r="J73" s="32" t="s">
        <v>746</v>
      </c>
      <c r="K73" s="26" t="s">
        <v>746</v>
      </c>
      <c r="L73" s="33" t="s">
        <v>746</v>
      </c>
      <c r="M73" s="34" t="s">
        <v>746</v>
      </c>
      <c r="N73" s="26" t="s">
        <v>746</v>
      </c>
      <c r="O73" s="35" t="s">
        <v>746</v>
      </c>
    </row>
    <row r="74" ht="18" customHeight="1" spans="1:15" x14ac:dyDescent="0.25">
      <c r="A74" s="25" t="s">
        <v>746</v>
      </c>
      <c r="B74" s="26" t="s">
        <v>746</v>
      </c>
      <c r="C74" s="27" t="s">
        <v>746</v>
      </c>
      <c r="D74" s="28" t="str">
        <f>=Dashboard!A83</f>
        <v>TASK-FE-023</v>
      </c>
      <c r="E74" s="26" t="str">
        <f>=Dashboard!C83</f>
        <v>Loading components</v>
      </c>
      <c r="F74" s="29" t="str">
        <f>=Dashboard!D83</f>
        <v>Adithyan N</v>
      </c>
      <c r="G74" s="30" t="s">
        <v>746</v>
      </c>
      <c r="H74" s="26" t="s">
        <v>746</v>
      </c>
      <c r="I74" s="31" t="s">
        <v>746</v>
      </c>
      <c r="J74" s="32" t="s">
        <v>746</v>
      </c>
      <c r="K74" s="26" t="s">
        <v>746</v>
      </c>
      <c r="L74" s="33" t="s">
        <v>746</v>
      </c>
      <c r="M74" s="34" t="s">
        <v>746</v>
      </c>
      <c r="N74" s="26" t="s">
        <v>746</v>
      </c>
      <c r="O74" s="35" t="s">
        <v>746</v>
      </c>
    </row>
    <row r="75" ht="18" customHeight="1" spans="1:15" x14ac:dyDescent="0.25">
      <c r="A75" s="25" t="s">
        <v>746</v>
      </c>
      <c r="B75" s="26" t="s">
        <v>746</v>
      </c>
      <c r="C75" s="27" t="s">
        <v>746</v>
      </c>
      <c r="D75" s="28" t="str">
        <f>=Dashboard!A84</f>
        <v>TASK-FE-024</v>
      </c>
      <c r="E75" s="26" t="str">
        <f>=Dashboard!C84</f>
        <v>Final UI testing</v>
      </c>
      <c r="F75" s="29" t="str">
        <f>=Dashboard!D84</f>
        <v>Adithyan N</v>
      </c>
      <c r="G75" s="30" t="s">
        <v>746</v>
      </c>
      <c r="H75" s="26" t="s">
        <v>746</v>
      </c>
      <c r="I75" s="31" t="s">
        <v>746</v>
      </c>
      <c r="J75" s="32" t="s">
        <v>746</v>
      </c>
      <c r="K75" s="26" t="s">
        <v>746</v>
      </c>
      <c r="L75" s="33" t="s">
        <v>746</v>
      </c>
      <c r="M75" s="34" t="s">
        <v>746</v>
      </c>
      <c r="N75" s="26" t="s">
        <v>746</v>
      </c>
      <c r="O75" s="35" t="s">
        <v>746</v>
      </c>
    </row>
    <row r="76" ht="18" customHeight="1" spans="1:15" x14ac:dyDescent="0.25">
      <c r="A76" s="25" t="s">
        <v>746</v>
      </c>
      <c r="B76" s="26" t="s">
        <v>746</v>
      </c>
      <c r="C76" s="27" t="s">
        <v>746</v>
      </c>
      <c r="D76" s="28" t="str">
        <f>=Dashboard!A85</f>
        <v>TASK-AI-001</v>
      </c>
      <c r="E76" s="26" t="str">
        <f>=Dashboard!C85</f>
        <v>Gemini integration</v>
      </c>
      <c r="F76" s="29" t="str">
        <f>=Dashboard!D85</f>
        <v>Muhammed Sadik KT</v>
      </c>
      <c r="G76" s="30" t="s">
        <v>746</v>
      </c>
      <c r="H76" s="26" t="s">
        <v>746</v>
      </c>
      <c r="I76" s="31" t="s">
        <v>746</v>
      </c>
      <c r="J76" s="32" t="s">
        <v>746</v>
      </c>
      <c r="K76" s="26" t="s">
        <v>746</v>
      </c>
      <c r="L76" s="33" t="s">
        <v>746</v>
      </c>
      <c r="M76" s="34" t="s">
        <v>746</v>
      </c>
      <c r="N76" s="26" t="s">
        <v>746</v>
      </c>
      <c r="O76" s="35" t="s">
        <v>746</v>
      </c>
    </row>
    <row r="77" ht="18" customHeight="1" spans="1:15" x14ac:dyDescent="0.25">
      <c r="A77" s="25" t="s">
        <v>746</v>
      </c>
      <c r="B77" s="26" t="s">
        <v>746</v>
      </c>
      <c r="C77" s="27" t="s">
        <v>746</v>
      </c>
      <c r="D77" s="28" t="str">
        <f>=Dashboard!A86</f>
        <v>TASK-AI-002</v>
      </c>
      <c r="E77" s="26" t="str">
        <f>=Dashboard!C86</f>
        <v>Prompt engineering</v>
      </c>
      <c r="F77" s="29" t="str">
        <f>=Dashboard!D86</f>
        <v>Muhammed Sadik KT</v>
      </c>
      <c r="G77" s="30" t="s">
        <v>746</v>
      </c>
      <c r="H77" s="26" t="s">
        <v>746</v>
      </c>
      <c r="I77" s="31" t="s">
        <v>746</v>
      </c>
      <c r="J77" s="32" t="s">
        <v>746</v>
      </c>
      <c r="K77" s="26" t="s">
        <v>746</v>
      </c>
      <c r="L77" s="33" t="s">
        <v>746</v>
      </c>
      <c r="M77" s="34" t="s">
        <v>746</v>
      </c>
      <c r="N77" s="26" t="s">
        <v>746</v>
      </c>
      <c r="O77" s="35" t="s">
        <v>746</v>
      </c>
    </row>
    <row r="78" ht="18" customHeight="1" spans="1:15" x14ac:dyDescent="0.25">
      <c r="A78" s="25" t="s">
        <v>746</v>
      </c>
      <c r="B78" s="26" t="s">
        <v>746</v>
      </c>
      <c r="C78" s="27" t="s">
        <v>746</v>
      </c>
      <c r="D78" s="28" t="str">
        <f>=Dashboard!A87</f>
        <v>TASK-AI-003</v>
      </c>
      <c r="E78" s="26" t="str">
        <f>=Dashboard!C87</f>
        <v>Chatbot API</v>
      </c>
      <c r="F78" s="29" t="str">
        <f>=Dashboard!D87</f>
        <v>Muhammed Sadik KT</v>
      </c>
      <c r="G78" s="30" t="s">
        <v>746</v>
      </c>
      <c r="H78" s="26" t="s">
        <v>746</v>
      </c>
      <c r="I78" s="31" t="s">
        <v>746</v>
      </c>
      <c r="J78" s="32" t="s">
        <v>746</v>
      </c>
      <c r="K78" s="26" t="s">
        <v>746</v>
      </c>
      <c r="L78" s="33" t="s">
        <v>746</v>
      </c>
      <c r="M78" s="34" t="s">
        <v>746</v>
      </c>
      <c r="N78" s="26" t="s">
        <v>746</v>
      </c>
      <c r="O78" s="35" t="s">
        <v>746</v>
      </c>
    </row>
    <row r="79" ht="18" customHeight="1" spans="1:15" x14ac:dyDescent="0.25">
      <c r="A79" s="25" t="s">
        <v>746</v>
      </c>
      <c r="B79" s="26" t="s">
        <v>746</v>
      </c>
      <c r="C79" s="27" t="s">
        <v>746</v>
      </c>
      <c r="D79" s="28" t="str">
        <f>=Dashboard!A88</f>
        <v>TASK-AI-004</v>
      </c>
      <c r="E79" s="26" t="str">
        <f>=Dashboard!C88</f>
        <v>OCR service</v>
      </c>
      <c r="F79" s="29" t="str">
        <f>=Dashboard!D88</f>
        <v>Muhammed Sadik KT</v>
      </c>
      <c r="G79" s="30" t="s">
        <v>746</v>
      </c>
      <c r="H79" s="26" t="s">
        <v>746</v>
      </c>
      <c r="I79" s="31" t="s">
        <v>746</v>
      </c>
      <c r="J79" s="32" t="s">
        <v>746</v>
      </c>
      <c r="K79" s="26" t="s">
        <v>746</v>
      </c>
      <c r="L79" s="33" t="s">
        <v>746</v>
      </c>
      <c r="M79" s="34" t="s">
        <v>746</v>
      </c>
      <c r="N79" s="26" t="s">
        <v>746</v>
      </c>
      <c r="O79" s="35" t="s">
        <v>746</v>
      </c>
    </row>
    <row r="80" ht="18" customHeight="1" spans="1:15" x14ac:dyDescent="0.25">
      <c r="A80" s="25" t="s">
        <v>746</v>
      </c>
      <c r="B80" s="26" t="s">
        <v>746</v>
      </c>
      <c r="C80" s="27" t="s">
        <v>746</v>
      </c>
      <c r="D80" s="28" t="str">
        <f>=Dashboard!A89</f>
        <v>TASK-AI-005</v>
      </c>
      <c r="E80" s="26" t="str">
        <f>=Dashboard!C89</f>
        <v>OCR validation</v>
      </c>
      <c r="F80" s="29" t="str">
        <f>=Dashboard!D89</f>
        <v>Muhammed Sadik KT</v>
      </c>
      <c r="G80" s="30" t="s">
        <v>746</v>
      </c>
      <c r="H80" s="26" t="s">
        <v>746</v>
      </c>
      <c r="I80" s="31" t="s">
        <v>746</v>
      </c>
      <c r="J80" s="32" t="s">
        <v>746</v>
      </c>
      <c r="K80" s="26" t="s">
        <v>746</v>
      </c>
      <c r="L80" s="33" t="s">
        <v>746</v>
      </c>
      <c r="M80" s="34" t="s">
        <v>746</v>
      </c>
      <c r="N80" s="26" t="s">
        <v>746</v>
      </c>
      <c r="O80" s="35" t="s">
        <v>746</v>
      </c>
    </row>
    <row r="81" ht="18" customHeight="1" spans="1:15" x14ac:dyDescent="0.25">
      <c r="A81" s="25" t="s">
        <v>746</v>
      </c>
      <c r="B81" s="26" t="s">
        <v>746</v>
      </c>
      <c r="C81" s="27" t="s">
        <v>746</v>
      </c>
      <c r="D81" s="28" t="str">
        <f>=Dashboard!A90</f>
        <v>TASK-AI-006</v>
      </c>
      <c r="E81" s="26" t="str">
        <f>=Dashboard!C90</f>
        <v>Face recognition core</v>
      </c>
      <c r="F81" s="29" t="str">
        <f>=Dashboard!D90</f>
        <v>Muhammed Sadik KT</v>
      </c>
      <c r="G81" s="30" t="s">
        <v>746</v>
      </c>
      <c r="H81" s="26" t="s">
        <v>746</v>
      </c>
      <c r="I81" s="31" t="s">
        <v>746</v>
      </c>
      <c r="J81" s="32" t="s">
        <v>746</v>
      </c>
      <c r="K81" s="26" t="s">
        <v>746</v>
      </c>
      <c r="L81" s="33" t="s">
        <v>746</v>
      </c>
      <c r="M81" s="34" t="s">
        <v>746</v>
      </c>
      <c r="N81" s="26" t="s">
        <v>746</v>
      </c>
      <c r="O81" s="35" t="s">
        <v>746</v>
      </c>
    </row>
    <row r="82" ht="18" customHeight="1" spans="1:15" x14ac:dyDescent="0.25">
      <c r="A82" s="25" t="s">
        <v>746</v>
      </c>
      <c r="B82" s="26" t="s">
        <v>746</v>
      </c>
      <c r="C82" s="27" t="s">
        <v>746</v>
      </c>
      <c r="D82" s="28" t="str">
        <f>=Dashboard!A91</f>
        <v>TASK-AI-007</v>
      </c>
      <c r="E82" s="26" t="str">
        <f>=Dashboard!C91</f>
        <v>Attendance recognition service</v>
      </c>
      <c r="F82" s="29" t="str">
        <f>=Dashboard!D91</f>
        <v>Muhammed Sadik KT</v>
      </c>
      <c r="G82" s="30" t="s">
        <v>746</v>
      </c>
      <c r="H82" s="26" t="s">
        <v>746</v>
      </c>
      <c r="I82" s="31" t="s">
        <v>746</v>
      </c>
      <c r="J82" s="32" t="s">
        <v>746</v>
      </c>
      <c r="K82" s="26" t="s">
        <v>746</v>
      </c>
      <c r="L82" s="33" t="s">
        <v>746</v>
      </c>
      <c r="M82" s="34" t="s">
        <v>746</v>
      </c>
      <c r="N82" s="26" t="s">
        <v>746</v>
      </c>
      <c r="O82" s="35" t="s">
        <v>746</v>
      </c>
    </row>
    <row r="83" ht="18" customHeight="1" spans="1:15" x14ac:dyDescent="0.25">
      <c r="A83" s="25" t="s">
        <v>746</v>
      </c>
      <c r="B83" s="26" t="s">
        <v>746</v>
      </c>
      <c r="C83" s="27" t="s">
        <v>746</v>
      </c>
      <c r="D83" s="28" t="str">
        <f>=Dashboard!A92</f>
        <v>TASK-AI-008</v>
      </c>
      <c r="E83" s="26" t="str">
        <f>=Dashboard!C92</f>
        <v>AI testing</v>
      </c>
      <c r="F83" s="29" t="str">
        <f>=Dashboard!D92</f>
        <v>Muhammed Sadik KT</v>
      </c>
      <c r="G83" s="30" t="s">
        <v>746</v>
      </c>
      <c r="H83" s="26" t="s">
        <v>746</v>
      </c>
      <c r="I83" s="31" t="s">
        <v>746</v>
      </c>
      <c r="J83" s="32" t="s">
        <v>746</v>
      </c>
      <c r="K83" s="26" t="s">
        <v>746</v>
      </c>
      <c r="L83" s="33" t="s">
        <v>746</v>
      </c>
      <c r="M83" s="34" t="s">
        <v>746</v>
      </c>
      <c r="N83" s="26" t="s">
        <v>746</v>
      </c>
      <c r="O83" s="35" t="s">
        <v>746</v>
      </c>
    </row>
    <row r="84" ht="18" customHeight="1" spans="1:15" x14ac:dyDescent="0.25">
      <c r="A84" s="25" t="s">
        <v>746</v>
      </c>
      <c r="B84" s="26" t="s">
        <v>746</v>
      </c>
      <c r="C84" s="27" t="s">
        <v>746</v>
      </c>
      <c r="D84" s="28" t="str">
        <f>=Dashboard!A93</f>
        <v>TASK-AI-009</v>
      </c>
      <c r="E84" s="26" t="str">
        <f>=Dashboard!C93</f>
        <v>Response optimization</v>
      </c>
      <c r="F84" s="29" t="str">
        <f>=Dashboard!D93</f>
        <v>Muhammed Sadik KT</v>
      </c>
      <c r="G84" s="30" t="s">
        <v>746</v>
      </c>
      <c r="H84" s="26" t="s">
        <v>746</v>
      </c>
      <c r="I84" s="31" t="s">
        <v>746</v>
      </c>
      <c r="J84" s="32" t="s">
        <v>746</v>
      </c>
      <c r="K84" s="26" t="s">
        <v>746</v>
      </c>
      <c r="L84" s="33" t="s">
        <v>746</v>
      </c>
      <c r="M84" s="34" t="s">
        <v>746</v>
      </c>
      <c r="N84" s="26" t="s">
        <v>746</v>
      </c>
      <c r="O84" s="35" t="s">
        <v>746</v>
      </c>
    </row>
    <row r="85" ht="18" customHeight="1" spans="1:15" x14ac:dyDescent="0.25">
      <c r="A85" s="25" t="s">
        <v>746</v>
      </c>
      <c r="B85" s="26" t="s">
        <v>746</v>
      </c>
      <c r="C85" s="27" t="s">
        <v>746</v>
      </c>
      <c r="D85" s="28" t="str">
        <f>=Dashboard!A94</f>
        <v>TASK-FR-001</v>
      </c>
      <c r="E85" s="26" t="str">
        <f>=Dashboard!C94</f>
        <v>Dataset Collection</v>
      </c>
      <c r="F85" s="29" t="str">
        <f>=Dashboard!D94</f>
        <v>Fadi Ahmed</v>
      </c>
      <c r="G85" s="30" t="s">
        <v>746</v>
      </c>
      <c r="H85" s="26" t="s">
        <v>746</v>
      </c>
      <c r="I85" s="31" t="s">
        <v>746</v>
      </c>
      <c r="J85" s="32" t="s">
        <v>746</v>
      </c>
      <c r="K85" s="26" t="s">
        <v>746</v>
      </c>
      <c r="L85" s="33" t="s">
        <v>746</v>
      </c>
      <c r="M85" s="34" t="s">
        <v>746</v>
      </c>
      <c r="N85" s="26" t="s">
        <v>746</v>
      </c>
      <c r="O85" s="35" t="s">
        <v>746</v>
      </c>
    </row>
    <row r="86" ht="18" customHeight="1" spans="1:15" x14ac:dyDescent="0.25">
      <c r="A86" s="25" t="s">
        <v>746</v>
      </c>
      <c r="B86" s="26" t="s">
        <v>746</v>
      </c>
      <c r="C86" s="27" t="s">
        <v>746</v>
      </c>
      <c r="D86" s="28" t="str">
        <f>=Dashboard!A95</f>
        <v>TASK-FR-002</v>
      </c>
      <c r="E86" s="26" t="str">
        <f>=Dashboard!C95</f>
        <v>Prototype Refinement</v>
      </c>
      <c r="F86" s="29" t="str">
        <f>=Dashboard!D95</f>
        <v>Fadi Ahmed</v>
      </c>
      <c r="G86" s="30" t="s">
        <v>746</v>
      </c>
      <c r="H86" s="26" t="s">
        <v>746</v>
      </c>
      <c r="I86" s="31" t="s">
        <v>746</v>
      </c>
      <c r="J86" s="32" t="s">
        <v>746</v>
      </c>
      <c r="K86" s="26" t="s">
        <v>746</v>
      </c>
      <c r="L86" s="33" t="s">
        <v>746</v>
      </c>
      <c r="M86" s="34" t="s">
        <v>746</v>
      </c>
      <c r="N86" s="26" t="s">
        <v>746</v>
      </c>
      <c r="O86" s="35" t="s">
        <v>746</v>
      </c>
    </row>
    <row r="87" ht="18" customHeight="1" spans="1:15" x14ac:dyDescent="0.25">
      <c r="A87" s="25" t="s">
        <v>746</v>
      </c>
      <c r="B87" s="26" t="s">
        <v>746</v>
      </c>
      <c r="C87" s="27" t="s">
        <v>746</v>
      </c>
      <c r="D87" s="28" t="str">
        <f>=Dashboard!A96</f>
        <v>TASK-FR-003</v>
      </c>
      <c r="E87" s="26" t="str">
        <f>=Dashboard!C96</f>
        <v>Camera Integration Testing</v>
      </c>
      <c r="F87" s="29" t="str">
        <f>=Dashboard!D96</f>
        <v>Fadi Ahmed</v>
      </c>
      <c r="G87" s="30" t="s">
        <v>746</v>
      </c>
      <c r="H87" s="26" t="s">
        <v>746</v>
      </c>
      <c r="I87" s="31" t="s">
        <v>746</v>
      </c>
      <c r="J87" s="32" t="s">
        <v>746</v>
      </c>
      <c r="K87" s="26" t="s">
        <v>746</v>
      </c>
      <c r="L87" s="33" t="s">
        <v>746</v>
      </c>
      <c r="M87" s="34" t="s">
        <v>746</v>
      </c>
      <c r="N87" s="26" t="s">
        <v>746</v>
      </c>
      <c r="O87" s="35" t="s">
        <v>746</v>
      </c>
    </row>
    <row r="88" ht="18" customHeight="1" spans="1:15" x14ac:dyDescent="0.25">
      <c r="A88" s="25" t="s">
        <v>746</v>
      </c>
      <c r="B88" s="26" t="s">
        <v>746</v>
      </c>
      <c r="C88" s="27" t="s">
        <v>746</v>
      </c>
      <c r="D88" s="28" t="str">
        <f>=Dashboard!A97</f>
        <v>TASK-FR-004</v>
      </c>
      <c r="E88" s="26" t="str">
        <f>=Dashboard!C97</f>
        <v>Attendance Workflow Testing</v>
      </c>
      <c r="F88" s="29" t="str">
        <f>=Dashboard!D97</f>
        <v>Fadi Ahmed</v>
      </c>
      <c r="G88" s="30" t="s">
        <v>746</v>
      </c>
      <c r="H88" s="26" t="s">
        <v>746</v>
      </c>
      <c r="I88" s="31" t="s">
        <v>746</v>
      </c>
      <c r="J88" s="32" t="s">
        <v>746</v>
      </c>
      <c r="K88" s="26" t="s">
        <v>746</v>
      </c>
      <c r="L88" s="33" t="s">
        <v>746</v>
      </c>
      <c r="M88" s="34" t="s">
        <v>746</v>
      </c>
      <c r="N88" s="26" t="s">
        <v>746</v>
      </c>
      <c r="O88" s="35" t="s">
        <v>746</v>
      </c>
    </row>
    <row r="89" ht="18" customHeight="1" spans="1:15" x14ac:dyDescent="0.25">
      <c r="A89" s="25" t="s">
        <v>746</v>
      </c>
      <c r="B89" s="26" t="s">
        <v>746</v>
      </c>
      <c r="C89" s="27" t="s">
        <v>746</v>
      </c>
      <c r="D89" s="28" t="str">
        <f>=Dashboard!A98</f>
        <v>TASK-FR-005</v>
      </c>
      <c r="E89" s="26" t="str">
        <f>=Dashboard!C98</f>
        <v>Recognition Accuracy Testing</v>
      </c>
      <c r="F89" s="29" t="str">
        <f>=Dashboard!D98</f>
        <v>Fadi Ahmed</v>
      </c>
      <c r="G89" s="30" t="s">
        <v>746</v>
      </c>
      <c r="H89" s="26" t="s">
        <v>746</v>
      </c>
      <c r="I89" s="31" t="s">
        <v>746</v>
      </c>
      <c r="J89" s="32" t="s">
        <v>746</v>
      </c>
      <c r="K89" s="26" t="s">
        <v>746</v>
      </c>
      <c r="L89" s="33" t="s">
        <v>746</v>
      </c>
      <c r="M89" s="34" t="s">
        <v>746</v>
      </c>
      <c r="N89" s="26" t="s">
        <v>746</v>
      </c>
      <c r="O89" s="35" t="s">
        <v>746</v>
      </c>
    </row>
    <row r="90" ht="18" customHeight="1" spans="1:15" x14ac:dyDescent="0.25">
      <c r="A90" s="25" t="s">
        <v>746</v>
      </c>
      <c r="B90" s="26" t="s">
        <v>746</v>
      </c>
      <c r="C90" s="27" t="s">
        <v>746</v>
      </c>
      <c r="D90" s="28" t="str">
        <f>=Dashboard!A99</f>
        <v>TASK-FR-006</v>
      </c>
      <c r="E90" s="26" t="str">
        <f>=Dashboard!C99</f>
        <v>Cross-Browser Camera Testing</v>
      </c>
      <c r="F90" s="29" t="str">
        <f>=Dashboard!D99</f>
        <v>Fadi Ahmed</v>
      </c>
      <c r="G90" s="30" t="s">
        <v>746</v>
      </c>
      <c r="H90" s="26" t="s">
        <v>746</v>
      </c>
      <c r="I90" s="31" t="s">
        <v>746</v>
      </c>
      <c r="J90" s="32" t="s">
        <v>746</v>
      </c>
      <c r="K90" s="26" t="s">
        <v>746</v>
      </c>
      <c r="L90" s="33" t="s">
        <v>746</v>
      </c>
      <c r="M90" s="34" t="s">
        <v>746</v>
      </c>
      <c r="N90" s="26" t="s">
        <v>746</v>
      </c>
      <c r="O90" s="35" t="s">
        <v>746</v>
      </c>
    </row>
    <row r="91" ht="18" customHeight="1" spans="1:15" x14ac:dyDescent="0.25">
      <c r="A91" s="25" t="s">
        <v>746</v>
      </c>
      <c r="B91" s="26" t="s">
        <v>746</v>
      </c>
      <c r="C91" s="27" t="s">
        <v>746</v>
      </c>
      <c r="D91" s="28" t="str">
        <f>=Dashboard!A100</f>
        <v>TASK-FR-007</v>
      </c>
      <c r="E91" s="26" t="str">
        <f>=Dashboard!C100</f>
        <v>Scanner UI Review</v>
      </c>
      <c r="F91" s="29" t="str">
        <f>=Dashboard!D100</f>
        <v>Fadi Ahmed</v>
      </c>
      <c r="G91" s="30" t="s">
        <v>746</v>
      </c>
      <c r="H91" s="26" t="s">
        <v>746</v>
      </c>
      <c r="I91" s="31" t="s">
        <v>746</v>
      </c>
      <c r="J91" s="32" t="s">
        <v>746</v>
      </c>
      <c r="K91" s="26" t="s">
        <v>746</v>
      </c>
      <c r="L91" s="33" t="s">
        <v>746</v>
      </c>
      <c r="M91" s="34" t="s">
        <v>746</v>
      </c>
      <c r="N91" s="26" t="s">
        <v>746</v>
      </c>
      <c r="O91" s="35" t="s">
        <v>746</v>
      </c>
    </row>
    <row r="92" ht="18" customHeight="1" spans="1:15" x14ac:dyDescent="0.25">
      <c r="A92" s="25" t="s">
        <v>746</v>
      </c>
      <c r="B92" s="26" t="s">
        <v>746</v>
      </c>
      <c r="C92" s="27" t="s">
        <v>746</v>
      </c>
      <c r="D92" s="28" t="str">
        <f>=Dashboard!A101</f>
        <v>TASK-FR-008</v>
      </c>
      <c r="E92" s="26" t="str">
        <f>=Dashboard!C101</f>
        <v>System Integration Testing</v>
      </c>
      <c r="F92" s="29" t="str">
        <f>=Dashboard!D101</f>
        <v>Fadi Ahmed</v>
      </c>
      <c r="G92" s="30" t="s">
        <v>746</v>
      </c>
      <c r="H92" s="26" t="s">
        <v>746</v>
      </c>
      <c r="I92" s="31" t="s">
        <v>746</v>
      </c>
      <c r="J92" s="32" t="s">
        <v>746</v>
      </c>
      <c r="K92" s="26" t="s">
        <v>746</v>
      </c>
      <c r="L92" s="33" t="s">
        <v>746</v>
      </c>
      <c r="M92" s="34" t="s">
        <v>746</v>
      </c>
      <c r="N92" s="26" t="s">
        <v>746</v>
      </c>
      <c r="O92" s="35" t="s">
        <v>746</v>
      </c>
    </row>
    <row r="93" ht="18" customHeight="1" spans="1:15" x14ac:dyDescent="0.25">
      <c r="A93" s="25" t="s">
        <v>746</v>
      </c>
      <c r="B93" s="26" t="s">
        <v>746</v>
      </c>
      <c r="C93" s="27" t="s">
        <v>746</v>
      </c>
      <c r="D93" s="28" t="str">
        <f>=Dashboard!A102</f>
        <v>TASK-FR-009</v>
      </c>
      <c r="E93" s="26" t="str">
        <f>=Dashboard!C102</f>
        <v>Camera Permission Testing</v>
      </c>
      <c r="F93" s="29" t="str">
        <f>=Dashboard!D102</f>
        <v>Fadi Ahmed</v>
      </c>
      <c r="G93" s="30" t="s">
        <v>746</v>
      </c>
      <c r="H93" s="26" t="s">
        <v>746</v>
      </c>
      <c r="I93" s="31" t="s">
        <v>746</v>
      </c>
      <c r="J93" s="32" t="s">
        <v>746</v>
      </c>
      <c r="K93" s="26" t="s">
        <v>746</v>
      </c>
      <c r="L93" s="33" t="s">
        <v>746</v>
      </c>
      <c r="M93" s="34" t="s">
        <v>746</v>
      </c>
      <c r="N93" s="26" t="s">
        <v>746</v>
      </c>
      <c r="O93" s="35" t="s">
        <v>746</v>
      </c>
    </row>
    <row r="94" ht="18" customHeight="1" spans="1:15" x14ac:dyDescent="0.25">
      <c r="A94" s="25" t="s">
        <v>746</v>
      </c>
      <c r="B94" s="26" t="s">
        <v>746</v>
      </c>
      <c r="C94" s="27" t="s">
        <v>746</v>
      </c>
      <c r="D94" s="28" t="str">
        <f>=Dashboard!A103</f>
        <v>TASK-QA-001</v>
      </c>
      <c r="E94" s="26" t="str">
        <f>=Dashboard!C103</f>
        <v>Requirement traceability</v>
      </c>
      <c r="F94" s="29" t="str">
        <f>=Dashboard!D103</f>
        <v>Minha Palakkathodi</v>
      </c>
      <c r="G94" s="30" t="s">
        <v>746</v>
      </c>
      <c r="H94" s="26" t="s">
        <v>746</v>
      </c>
      <c r="I94" s="31" t="s">
        <v>746</v>
      </c>
      <c r="J94" s="32" t="s">
        <v>746</v>
      </c>
      <c r="K94" s="26" t="s">
        <v>746</v>
      </c>
      <c r="L94" s="33" t="s">
        <v>746</v>
      </c>
      <c r="M94" s="34" t="s">
        <v>746</v>
      </c>
      <c r="N94" s="26" t="s">
        <v>746</v>
      </c>
      <c r="O94" s="35" t="s">
        <v>746</v>
      </c>
    </row>
    <row r="95" ht="18" customHeight="1" spans="1:15" x14ac:dyDescent="0.25">
      <c r="A95" s="25" t="s">
        <v>746</v>
      </c>
      <c r="B95" s="26" t="s">
        <v>746</v>
      </c>
      <c r="C95" s="27" t="s">
        <v>746</v>
      </c>
      <c r="D95" s="28" t="str">
        <f>=Dashboard!A104</f>
        <v>TASK-QA-002</v>
      </c>
      <c r="E95" s="26" t="str">
        <f>=Dashboard!C104</f>
        <v>Test case creation</v>
      </c>
      <c r="F95" s="29" t="str">
        <f>=Dashboard!D104</f>
        <v>Minha Palakkathodi</v>
      </c>
      <c r="G95" s="30" t="s">
        <v>746</v>
      </c>
      <c r="H95" s="26" t="s">
        <v>746</v>
      </c>
      <c r="I95" s="31" t="s">
        <v>746</v>
      </c>
      <c r="J95" s="32" t="s">
        <v>746</v>
      </c>
      <c r="K95" s="26" t="s">
        <v>746</v>
      </c>
      <c r="L95" s="33" t="s">
        <v>746</v>
      </c>
      <c r="M95" s="34" t="s">
        <v>746</v>
      </c>
      <c r="N95" s="26" t="s">
        <v>746</v>
      </c>
      <c r="O95" s="35" t="s">
        <v>746</v>
      </c>
    </row>
    <row r="96" ht="18" customHeight="1" spans="1:15" x14ac:dyDescent="0.25">
      <c r="A96" s="25" t="s">
        <v>746</v>
      </c>
      <c r="B96" s="26" t="s">
        <v>746</v>
      </c>
      <c r="C96" s="27" t="s">
        <v>746</v>
      </c>
      <c r="D96" s="28" t="str">
        <f>=Dashboard!A105</f>
        <v>TASK-QA-003</v>
      </c>
      <c r="E96" s="26" t="str">
        <f>=Dashboard!C105</f>
        <v>UAT preparation</v>
      </c>
      <c r="F96" s="29" t="str">
        <f>=Dashboard!D105</f>
        <v>Minha Palakkathodi</v>
      </c>
      <c r="G96" s="30" t="s">
        <v>746</v>
      </c>
      <c r="H96" s="26" t="s">
        <v>746</v>
      </c>
      <c r="I96" s="31" t="s">
        <v>746</v>
      </c>
      <c r="J96" s="32" t="s">
        <v>746</v>
      </c>
      <c r="K96" s="26" t="s">
        <v>746</v>
      </c>
      <c r="L96" s="33" t="s">
        <v>746</v>
      </c>
      <c r="M96" s="34" t="s">
        <v>746</v>
      </c>
      <c r="N96" s="26" t="s">
        <v>746</v>
      </c>
      <c r="O96" s="35" t="s">
        <v>746</v>
      </c>
    </row>
    <row r="97" ht="18" customHeight="1" spans="1:15" x14ac:dyDescent="0.25">
      <c r="A97" s="25" t="s">
        <v>746</v>
      </c>
      <c r="B97" s="26" t="s">
        <v>746</v>
      </c>
      <c r="C97" s="27" t="s">
        <v>746</v>
      </c>
      <c r="D97" s="28" t="str">
        <f>=Dashboard!A106</f>
        <v>TASK-QA-004</v>
      </c>
      <c r="E97" s="26" t="str">
        <f>=Dashboard!C106</f>
        <v>Documentation review</v>
      </c>
      <c r="F97" s="29" t="str">
        <f>=Dashboard!D106</f>
        <v>Minha Palakkathodi</v>
      </c>
      <c r="G97" s="30" t="s">
        <v>746</v>
      </c>
      <c r="H97" s="26" t="s">
        <v>746</v>
      </c>
      <c r="I97" s="31" t="s">
        <v>746</v>
      </c>
      <c r="J97" s="32" t="s">
        <v>746</v>
      </c>
      <c r="K97" s="26" t="s">
        <v>746</v>
      </c>
      <c r="L97" s="33" t="s">
        <v>746</v>
      </c>
      <c r="M97" s="34" t="s">
        <v>746</v>
      </c>
      <c r="N97" s="26" t="s">
        <v>746</v>
      </c>
      <c r="O97" s="35" t="s">
        <v>746</v>
      </c>
    </row>
    <row r="98" ht="18" customHeight="1" spans="1:15" x14ac:dyDescent="0.25">
      <c r="A98" s="25" t="s">
        <v>746</v>
      </c>
      <c r="B98" s="26" t="s">
        <v>746</v>
      </c>
      <c r="C98" s="27" t="s">
        <v>746</v>
      </c>
      <c r="D98" s="28" t="str">
        <f>=Dashboard!A107</f>
        <v>TASK-QA-005</v>
      </c>
      <c r="E98" s="26" t="str">
        <f>=Dashboard!C107</f>
        <v>Security checklist review</v>
      </c>
      <c r="F98" s="29" t="str">
        <f>=Dashboard!D107</f>
        <v>Minha Palakkathodi</v>
      </c>
      <c r="G98" s="30" t="s">
        <v>746</v>
      </c>
      <c r="H98" s="26" t="s">
        <v>746</v>
      </c>
      <c r="I98" s="31" t="s">
        <v>746</v>
      </c>
      <c r="J98" s="32" t="s">
        <v>746</v>
      </c>
      <c r="K98" s="26" t="s">
        <v>746</v>
      </c>
      <c r="L98" s="33" t="s">
        <v>746</v>
      </c>
      <c r="M98" s="34" t="s">
        <v>746</v>
      </c>
      <c r="N98" s="26" t="s">
        <v>746</v>
      </c>
      <c r="O98" s="35" t="s">
        <v>746</v>
      </c>
    </row>
    <row r="99" ht="18" customHeight="1" spans="1:15" x14ac:dyDescent="0.25">
      <c r="A99" s="25" t="s">
        <v>746</v>
      </c>
      <c r="B99" s="26" t="s">
        <v>746</v>
      </c>
      <c r="C99" s="27" t="s">
        <v>746</v>
      </c>
      <c r="D99" s="28" t="str">
        <f>=Dashboard!A108</f>
        <v>TASK-QA-006</v>
      </c>
      <c r="E99" s="26" t="str">
        <f>=Dashboard!C108</f>
        <v>QA reports</v>
      </c>
      <c r="F99" s="29" t="str">
        <f>=Dashboard!D108</f>
        <v>Minha Palakkathodi</v>
      </c>
      <c r="G99" s="30" t="s">
        <v>746</v>
      </c>
      <c r="H99" s="26" t="s">
        <v>746</v>
      </c>
      <c r="I99" s="31" t="s">
        <v>746</v>
      </c>
      <c r="J99" s="32" t="s">
        <v>746</v>
      </c>
      <c r="K99" s="26" t="s">
        <v>746</v>
      </c>
      <c r="L99" s="33" t="s">
        <v>746</v>
      </c>
      <c r="M99" s="34" t="s">
        <v>746</v>
      </c>
      <c r="N99" s="26" t="s">
        <v>746</v>
      </c>
      <c r="O99" s="35" t="s">
        <v>746</v>
      </c>
    </row>
    <row r="100" ht="18" customHeight="1" spans="1:15" x14ac:dyDescent="0.25">
      <c r="A100" s="25" t="s">
        <v>746</v>
      </c>
      <c r="B100" s="26" t="s">
        <v>746</v>
      </c>
      <c r="C100" s="27" t="s">
        <v>746</v>
      </c>
      <c r="D100" s="28" t="str">
        <f>=Dashboard!A109</f>
        <v>TASK-QA-007</v>
      </c>
      <c r="E100" s="26" t="str">
        <f>=Dashboard!C109</f>
        <v>Bug verification</v>
      </c>
      <c r="F100" s="29" t="str">
        <f>=Dashboard!D109</f>
        <v>Minha Palakkathodi</v>
      </c>
      <c r="G100" s="30" t="s">
        <v>746</v>
      </c>
      <c r="H100" s="26" t="s">
        <v>746</v>
      </c>
      <c r="I100" s="31" t="s">
        <v>746</v>
      </c>
      <c r="J100" s="32" t="s">
        <v>746</v>
      </c>
      <c r="K100" s="26" t="s">
        <v>746</v>
      </c>
      <c r="L100" s="33" t="s">
        <v>746</v>
      </c>
      <c r="M100" s="34" t="s">
        <v>746</v>
      </c>
      <c r="N100" s="26" t="s">
        <v>746</v>
      </c>
      <c r="O100" s="35" t="s">
        <v>746</v>
      </c>
    </row>
    <row r="101" ht="18" customHeight="1" spans="1:15" x14ac:dyDescent="0.25">
      <c r="A101" s="25" t="s">
        <v>746</v>
      </c>
      <c r="B101" s="26" t="s">
        <v>746</v>
      </c>
      <c r="C101" s="27" t="s">
        <v>746</v>
      </c>
      <c r="D101" s="28" t="str">
        <f>=Dashboard!A110</f>
        <v>TASK-QA-008</v>
      </c>
      <c r="E101" s="26" t="str">
        <f>=Dashboard!C110</f>
        <v>Final documentation</v>
      </c>
      <c r="F101" s="29" t="str">
        <f>=Dashboard!D110</f>
        <v>Minha Palakkathodi</v>
      </c>
      <c r="G101" s="30" t="s">
        <v>746</v>
      </c>
      <c r="H101" s="26" t="s">
        <v>746</v>
      </c>
      <c r="I101" s="31" t="s">
        <v>746</v>
      </c>
      <c r="J101" s="32" t="s">
        <v>746</v>
      </c>
      <c r="K101" s="26" t="s">
        <v>746</v>
      </c>
      <c r="L101" s="33" t="s">
        <v>746</v>
      </c>
      <c r="M101" s="34" t="s">
        <v>746</v>
      </c>
      <c r="N101" s="26" t="s">
        <v>746</v>
      </c>
      <c r="O101" s="35" t="s">
        <v>746</v>
      </c>
    </row>
    <row r="102" ht="18" customHeight="1" spans="1:15" x14ac:dyDescent="0.25">
      <c r="A102" s="25" t="s">
        <v>746</v>
      </c>
      <c r="B102" s="26" t="s">
        <v>746</v>
      </c>
      <c r="C102" s="27" t="s">
        <v>746</v>
      </c>
      <c r="D102" s="28" t="str">
        <f>=Dashboard!A111</f>
        <v>TASK-QA-009</v>
      </c>
      <c r="E102" s="26" t="str">
        <f>=Dashboard!C111</f>
        <v>Handover documentation</v>
      </c>
      <c r="F102" s="29" t="str">
        <f>=Dashboard!D111</f>
        <v>Minha Palakkathodi</v>
      </c>
      <c r="G102" s="30" t="s">
        <v>746</v>
      </c>
      <c r="H102" s="26" t="s">
        <v>746</v>
      </c>
      <c r="I102" s="31" t="s">
        <v>746</v>
      </c>
      <c r="J102" s="32" t="s">
        <v>746</v>
      </c>
      <c r="K102" s="26" t="s">
        <v>746</v>
      </c>
      <c r="L102" s="33" t="s">
        <v>746</v>
      </c>
      <c r="M102" s="34" t="s">
        <v>746</v>
      </c>
      <c r="N102" s="26" t="s">
        <v>746</v>
      </c>
      <c r="O102" s="35" t="s">
        <v>746</v>
      </c>
    </row>
    <row r="103" ht="18" customHeight="1" spans="1:15" x14ac:dyDescent="0.25">
      <c r="A103" s="25" t="s">
        <v>746</v>
      </c>
      <c r="B103" s="26" t="s">
        <v>746</v>
      </c>
      <c r="C103" s="27" t="s">
        <v>746</v>
      </c>
      <c r="D103" s="28" t="s">
        <v>746</v>
      </c>
      <c r="E103" s="26" t="s">
        <v>746</v>
      </c>
      <c r="F103" s="29" t="s">
        <v>746</v>
      </c>
      <c r="G103" s="30" t="s">
        <v>746</v>
      </c>
      <c r="H103" s="26" t="s">
        <v>746</v>
      </c>
      <c r="I103" s="31" t="s">
        <v>746</v>
      </c>
      <c r="J103" s="32" t="s">
        <v>746</v>
      </c>
      <c r="K103" s="26" t="s">
        <v>746</v>
      </c>
      <c r="L103" s="33" t="s">
        <v>746</v>
      </c>
      <c r="M103" s="34" t="s">
        <v>746</v>
      </c>
      <c r="N103" s="26" t="s">
        <v>746</v>
      </c>
      <c r="O103" s="35" t="s">
        <v>746</v>
      </c>
    </row>
  </sheetData>
  <mergeCells count="6">
    <mergeCell ref="A1:O1"/>
    <mergeCell ref="A5:C5"/>
    <mergeCell ref="D5:F5"/>
    <mergeCell ref="G5:I5"/>
    <mergeCell ref="J5:L5"/>
    <mergeCell ref="M5:O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747</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=Dashboard!A16</f>
        <v>TASK-INF-001</v>
      </c>
      <c r="B3" s="6" t="str">
        <f>=Dashboard!C16</f>
        <v>Repository verification</v>
      </c>
      <c r="C3" s="6" t="str">
        <f>=Dashboard!D16</f>
        <v>Adithyan N + Muhammad Sanish</v>
      </c>
      <c r="D3" s="13" t="str">
        <f>=Dashboard!E16</f>
        <v>High</v>
      </c>
      <c r="E3" s="13" t="str">
        <f>=Dashboard!I16</f>
        <v>None</v>
      </c>
      <c r="F3" s="13" t="str">
        <f>=Dashboard!F16</f>
        <v>Not Started</v>
      </c>
      <c r="G3" s="6" t="s">
        <v>67</v>
      </c>
      <c r="H3" s="6" t="s">
        <v>68</v>
      </c>
      <c r="I3" s="6" t="s">
        <v>69</v>
      </c>
      <c r="J3" s="6" t="s">
        <v>70</v>
      </c>
      <c r="K3" s="6" t="s">
        <v>71</v>
      </c>
      <c r="L3" s="13" t="s">
        <v>166</v>
      </c>
      <c r="M3" s="13" t="s">
        <v>73</v>
      </c>
      <c r="N3" s="6" t="str">
        <f>=Dashboard!Q16</f>
        <v>Check configuration files integrity</v>
      </c>
    </row>
    <row r="4" spans="1:14" x14ac:dyDescent="0.25">
      <c r="A4" s="15" t="str">
        <f>=Dashboard!A17</f>
        <v>TASK-INF-002</v>
      </c>
      <c r="B4" s="9" t="str">
        <f>=Dashboard!C17</f>
        <v>Git workflow setup</v>
      </c>
      <c r="C4" s="9" t="str">
        <f>=Dashboard!D17</f>
        <v>Adithyan N</v>
      </c>
      <c r="D4" s="15" t="str">
        <f>=Dashboard!E17</f>
        <v>High</v>
      </c>
      <c r="E4" s="15" t="str">
        <f>=Dashboard!I17</f>
        <v>None</v>
      </c>
      <c r="F4" s="15" t="str">
        <f>=Dashboard!F17</f>
        <v>Not Started</v>
      </c>
      <c r="G4" s="9" t="s">
        <v>76</v>
      </c>
      <c r="H4" s="9" t="s">
        <v>77</v>
      </c>
      <c r="I4" s="9" t="s">
        <v>78</v>
      </c>
      <c r="J4" s="9" t="s">
        <v>79</v>
      </c>
      <c r="K4" s="9" t="s">
        <v>80</v>
      </c>
      <c r="L4" s="15" t="s">
        <v>73</v>
      </c>
      <c r="M4" s="15" t="s">
        <v>73</v>
      </c>
      <c r="N4" s="9" t="str">
        <f>=Dashboard!Q17</f>
        <v>Main/develop/feature branching rules</v>
      </c>
    </row>
    <row r="5" spans="1:14" x14ac:dyDescent="0.25">
      <c r="A5" s="13" t="str">
        <f>=Dashboard!A18</f>
        <v>TASK-INF-003</v>
      </c>
      <c r="B5" s="6" t="str">
        <f>=Dashboard!C18</f>
        <v>Branch setup</v>
      </c>
      <c r="C5" s="6" t="str">
        <f>=Dashboard!D18</f>
        <v>Adithyan N</v>
      </c>
      <c r="D5" s="13" t="str">
        <f>=Dashboard!E18</f>
        <v>High</v>
      </c>
      <c r="E5" s="13" t="str">
        <f>=Dashboard!I18</f>
        <v>TASK-INF-002</v>
      </c>
      <c r="F5" s="13" t="str">
        <f>=Dashboard!F18</f>
        <v>Not Started</v>
      </c>
      <c r="G5" s="6" t="s">
        <v>84</v>
      </c>
      <c r="H5" s="6" t="s">
        <v>85</v>
      </c>
      <c r="I5" s="6" t="s">
        <v>86</v>
      </c>
      <c r="J5" s="6" t="s">
        <v>87</v>
      </c>
      <c r="K5" s="6" t="s">
        <v>80</v>
      </c>
      <c r="L5" s="13" t="s">
        <v>73</v>
      </c>
      <c r="M5" s="13" t="s">
        <v>73</v>
      </c>
      <c r="N5" s="6" t="str">
        <f>=Dashboard!Q18</f>
        <v>Initial pull request guidelines set</v>
      </c>
    </row>
    <row r="6" spans="1:14" x14ac:dyDescent="0.25">
      <c r="A6" s="15" t="str">
        <f>=Dashboard!A19</f>
        <v>TASK-INF-004</v>
      </c>
      <c r="B6" s="9" t="str">
        <f>=Dashboard!C19</f>
        <v>MongoDB Atlas setup</v>
      </c>
      <c r="C6" s="9" t="str">
        <f>=Dashboard!D19</f>
        <v>Adithyan N</v>
      </c>
      <c r="D6" s="15" t="str">
        <f>=Dashboard!E19</f>
        <v>Critical</v>
      </c>
      <c r="E6" s="15" t="str">
        <f>=Dashboard!I19</f>
        <v>None</v>
      </c>
      <c r="F6" s="15" t="str">
        <f>=Dashboard!F19</f>
        <v>Not Started</v>
      </c>
      <c r="G6" s="9" t="s">
        <v>92</v>
      </c>
      <c r="H6" s="9" t="s">
        <v>93</v>
      </c>
      <c r="I6" s="9" t="s">
        <v>94</v>
      </c>
      <c r="J6" s="9" t="s">
        <v>95</v>
      </c>
      <c r="K6" s="9" t="s">
        <v>96</v>
      </c>
      <c r="L6" s="15" t="s">
        <v>166</v>
      </c>
      <c r="M6" s="15" t="s">
        <v>166</v>
      </c>
      <c r="N6" s="9" t="str">
        <f>=Dashboard!Q19</f>
        <v>IP whitelist rules configured</v>
      </c>
    </row>
    <row r="7" spans="1:14" x14ac:dyDescent="0.25">
      <c r="A7" s="13" t="str">
        <f>=Dashboard!A20</f>
        <v>TASK-INF-005</v>
      </c>
      <c r="B7" s="6" t="str">
        <f>=Dashboard!C20</f>
        <v>Environment variables</v>
      </c>
      <c r="C7" s="6" t="str">
        <f>=Dashboard!D20</f>
        <v>Muhammad Sanish</v>
      </c>
      <c r="D7" s="13" t="str">
        <f>=Dashboard!E20</f>
        <v>High</v>
      </c>
      <c r="E7" s="13" t="str">
        <f>=Dashboard!I20</f>
        <v>None</v>
      </c>
      <c r="F7" s="13" t="str">
        <f>=Dashboard!F20</f>
        <v>Not Started</v>
      </c>
      <c r="G7" s="6" t="s">
        <v>100</v>
      </c>
      <c r="H7" s="6" t="s">
        <v>101</v>
      </c>
      <c r="I7" s="6" t="s">
        <v>102</v>
      </c>
      <c r="J7" s="6" t="s">
        <v>103</v>
      </c>
      <c r="K7" s="6" t="s">
        <v>71</v>
      </c>
      <c r="L7" s="13" t="s">
        <v>166</v>
      </c>
      <c r="M7" s="13" t="s">
        <v>166</v>
      </c>
      <c r="N7" s="6" t="str">
        <f>=Dashboard!Q20</f>
        <v>No secrets checked in</v>
      </c>
    </row>
    <row r="8" spans="1:14" x14ac:dyDescent="0.25">
      <c r="A8" s="15" t="str">
        <f>=Dashboard!A21</f>
        <v>TASK-INF-006</v>
      </c>
      <c r="B8" s="9" t="str">
        <f>=Dashboard!C21</f>
        <v>ESLint</v>
      </c>
      <c r="C8" s="9" t="str">
        <f>=Dashboard!D21</f>
        <v>Adithyan N</v>
      </c>
      <c r="D8" s="15" t="str">
        <f>=Dashboard!E21</f>
        <v>Medium</v>
      </c>
      <c r="E8" s="15" t="str">
        <f>=Dashboard!I21</f>
        <v>None</v>
      </c>
      <c r="F8" s="15" t="str">
        <f>=Dashboard!F21</f>
        <v>Not Started</v>
      </c>
      <c r="G8" s="9" t="s">
        <v>108</v>
      </c>
      <c r="H8" s="9" t="s">
        <v>109</v>
      </c>
      <c r="I8" s="9" t="s">
        <v>110</v>
      </c>
      <c r="J8" s="9" t="s">
        <v>111</v>
      </c>
      <c r="K8" s="9" t="s">
        <v>71</v>
      </c>
      <c r="L8" s="15" t="s">
        <v>166</v>
      </c>
      <c r="M8" s="15" t="s">
        <v>73</v>
      </c>
      <c r="N8" s="9" t="str">
        <f>=Dashboard!Q21</f>
        <v>Static code styling checks active</v>
      </c>
    </row>
    <row r="9" spans="1:14" x14ac:dyDescent="0.25">
      <c r="A9" s="13" t="str">
        <f>=Dashboard!A22</f>
        <v>TASK-INF-007</v>
      </c>
      <c r="B9" s="6" t="str">
        <f>=Dashboard!C22</f>
        <v>Prettier</v>
      </c>
      <c r="C9" s="6" t="str">
        <f>=Dashboard!D22</f>
        <v>Adithyan N</v>
      </c>
      <c r="D9" s="13" t="str">
        <f>=Dashboard!E22</f>
        <v>Medium</v>
      </c>
      <c r="E9" s="13" t="str">
        <f>=Dashboard!I22</f>
        <v>None</v>
      </c>
      <c r="F9" s="13" t="str">
        <f>=Dashboard!F22</f>
        <v>Not Started</v>
      </c>
      <c r="G9" s="6" t="s">
        <v>115</v>
      </c>
      <c r="H9" s="6" t="s">
        <v>116</v>
      </c>
      <c r="I9" s="6" t="s">
        <v>117</v>
      </c>
      <c r="J9" s="6" t="s">
        <v>118</v>
      </c>
      <c r="K9" s="6" t="s">
        <v>71</v>
      </c>
      <c r="L9" s="13" t="s">
        <v>166</v>
      </c>
      <c r="M9" s="13" t="s">
        <v>73</v>
      </c>
      <c r="N9" s="6" t="str">
        <f>=Dashboard!Q22</f>
        <v>Auto format on save verified</v>
      </c>
    </row>
  </sheetData>
  <autoFilter ref="A2:N9"/>
  <mergeCells count="1">
    <mergeCell ref="A1:N1"/>
  </mergeCells>
  <conditionalFormatting sqref="F3:F9">
    <cfRule type="cellIs" dxfId="9" priority="1" operator="equal">
      <formula>"Completed"</formula>
    </cfRule>
    <cfRule type="cellIs" dxfId="10" priority="2" operator="equal">
      <formula>"In Progress"</formula>
    </cfRule>
    <cfRule type="cellIs" dxfId="11" priority="3" operator="equal">
      <formula>"Review"</formula>
    </cfRule>
    <cfRule type="cellIs" dxfId="12" priority="4" operator="equal">
      <formula>"Blocked"</formula>
    </cfRule>
    <cfRule type="cellIs" dxfId="13" priority="5" operator="equal">
      <formula>"Not Started"</formula>
    </cfRule>
  </conditionalFormatting>
  <conditionalFormatting sqref="D3:D9">
    <cfRule type="cellIs" dxfId="14" priority="6" operator="equal">
      <formula>"Critical"</formula>
    </cfRule>
    <cfRule type="cellIs" dxfId="15" priority="7" operator="equal">
      <formula>"High"</formula>
    </cfRule>
    <cfRule type="cellIs" dxfId="16" priority="8" operator="equal">
      <formula>"Medium"</formula>
    </cfRule>
    <cfRule type="cellIs" dxfId="17" priority="9" operator="equal">
      <formula>"Low"</formula>
    </cfRule>
  </conditionalFormatting>
  <dataValidations count="2">
    <dataValidation type="list" allowBlank="1" sqref="D3:D9">
      <formula1>"Critical,High,Medium,Low"</formula1>
    </dataValidation>
    <dataValidation type="list" allowBlank="1" sqref="F3:F9">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750</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=Dashboard!A23</f>
        <v>TASK-INF-008</v>
      </c>
      <c r="B3" s="6" t="str">
        <f>=Dashboard!C23</f>
        <v>Logging infrastructure</v>
      </c>
      <c r="C3" s="6" t="str">
        <f>=Dashboard!D23</f>
        <v>Muhammad Sanish</v>
      </c>
      <c r="D3" s="13" t="str">
        <f>=Dashboard!E23</f>
        <v>Medium</v>
      </c>
      <c r="E3" s="13" t="str">
        <f>=Dashboard!I23</f>
        <v>TASK-INF-005</v>
      </c>
      <c r="F3" s="13" t="str">
        <f>=Dashboard!F23</f>
        <v>Not Started</v>
      </c>
      <c r="G3" s="6" t="s">
        <v>122</v>
      </c>
      <c r="H3" s="6" t="s">
        <v>123</v>
      </c>
      <c r="I3" s="6" t="s">
        <v>124</v>
      </c>
      <c r="J3" s="6" t="s">
        <v>125</v>
      </c>
      <c r="K3" s="6" t="s">
        <v>71</v>
      </c>
      <c r="L3" s="13" t="s">
        <v>166</v>
      </c>
      <c r="M3" s="13" t="s">
        <v>166</v>
      </c>
      <c r="N3" s="6" t="str">
        <f>=Dashboard!Q23</f>
        <v>PII credentials redact scripts applied</v>
      </c>
    </row>
    <row r="4" spans="1:14" x14ac:dyDescent="0.25">
      <c r="A4" s="15" t="str">
        <f>=Dashboard!A25</f>
        <v>TASK-DB-001</v>
      </c>
      <c r="B4" s="9" t="str">
        <f>=Dashboard!C25</f>
        <v>User schema</v>
      </c>
      <c r="C4" s="9" t="str">
        <f>=Dashboard!D25</f>
        <v>Fathima Hana</v>
      </c>
      <c r="D4" s="15" t="str">
        <f>=Dashboard!E25</f>
        <v>Critical</v>
      </c>
      <c r="E4" s="15" t="str">
        <f>=Dashboard!I25</f>
        <v>TASK-INF-004</v>
      </c>
      <c r="F4" s="15" t="str">
        <f>=Dashboard!F25</f>
        <v>Not Started</v>
      </c>
      <c r="G4" s="9" t="s">
        <v>137</v>
      </c>
      <c r="H4" s="9" t="s">
        <v>138</v>
      </c>
      <c r="I4" s="9" t="s">
        <v>139</v>
      </c>
      <c r="J4" s="9" t="s">
        <v>140</v>
      </c>
      <c r="K4" s="9" t="s">
        <v>96</v>
      </c>
      <c r="L4" s="15" t="s">
        <v>166</v>
      </c>
      <c r="M4" s="15" t="s">
        <v>166</v>
      </c>
      <c r="N4" s="9" t="str">
        <f>=Dashboard!Q25</f>
        <v>Support: Adithyan N. Unique key bounds active</v>
      </c>
    </row>
    <row r="5" spans="1:14" x14ac:dyDescent="0.25">
      <c r="A5" s="13" t="str">
        <f>=Dashboard!A26</f>
        <v>TASK-DB-002</v>
      </c>
      <c r="B5" s="6" t="str">
        <f>=Dashboard!C26</f>
        <v>Role schema</v>
      </c>
      <c r="C5" s="6" t="str">
        <f>=Dashboard!D26</f>
        <v>Fathima Hana</v>
      </c>
      <c r="D5" s="13" t="str">
        <f>=Dashboard!E26</f>
        <v>High</v>
      </c>
      <c r="E5" s="13" t="str">
        <f>=Dashboard!I26</f>
        <v>TASK-DB-001</v>
      </c>
      <c r="F5" s="13" t="str">
        <f>=Dashboard!F26</f>
        <v>Not Started</v>
      </c>
      <c r="G5" s="6" t="s">
        <v>144</v>
      </c>
      <c r="H5" s="6" t="s">
        <v>145</v>
      </c>
      <c r="I5" s="6" t="s">
        <v>139</v>
      </c>
      <c r="J5" s="6" t="s">
        <v>146</v>
      </c>
      <c r="K5" s="6" t="s">
        <v>96</v>
      </c>
      <c r="L5" s="13" t="s">
        <v>166</v>
      </c>
      <c r="M5" s="13" t="s">
        <v>166</v>
      </c>
      <c r="N5" s="6" t="str">
        <f>=Dashboard!Q26</f>
        <v>Support: Adithyan N. Predefined roles seeded</v>
      </c>
    </row>
    <row r="6" spans="1:14" x14ac:dyDescent="0.25">
      <c r="A6" s="15" t="str">
        <f>=Dashboard!A27</f>
        <v>TASK-DB-003</v>
      </c>
      <c r="B6" s="9" t="str">
        <f>=Dashboard!C27</f>
        <v>Permission schema</v>
      </c>
      <c r="C6" s="9" t="str">
        <f>=Dashboard!D27</f>
        <v>Fathima Hana</v>
      </c>
      <c r="D6" s="15" t="str">
        <f>=Dashboard!E27</f>
        <v>High</v>
      </c>
      <c r="E6" s="15" t="str">
        <f>=Dashboard!I27</f>
        <v>TASK-DB-002</v>
      </c>
      <c r="F6" s="15" t="str">
        <f>=Dashboard!F27</f>
        <v>Not Started</v>
      </c>
      <c r="G6" s="9" t="s">
        <v>150</v>
      </c>
      <c r="H6" s="9" t="s">
        <v>151</v>
      </c>
      <c r="I6" s="9" t="s">
        <v>139</v>
      </c>
      <c r="J6" s="9" t="s">
        <v>152</v>
      </c>
      <c r="K6" s="9" t="s">
        <v>96</v>
      </c>
      <c r="L6" s="15" t="s">
        <v>166</v>
      </c>
      <c r="M6" s="15" t="s">
        <v>166</v>
      </c>
      <c r="N6" s="9" t="str">
        <f>=Dashboard!Q27</f>
        <v>Support: Adithyan N. RBAC maps</v>
      </c>
    </row>
    <row r="7" spans="1:14" x14ac:dyDescent="0.25">
      <c r="A7" s="13" t="str">
        <f>=Dashboard!A28</f>
        <v>TASK-DB-004</v>
      </c>
      <c r="B7" s="6" t="str">
        <f>=Dashboard!C28</f>
        <v>Department schema</v>
      </c>
      <c r="C7" s="6" t="str">
        <f>=Dashboard!D28</f>
        <v>Fathima Hana</v>
      </c>
      <c r="D7" s="13" t="str">
        <f>=Dashboard!E28</f>
        <v>Medium</v>
      </c>
      <c r="E7" s="13" t="str">
        <f>=Dashboard!I28</f>
        <v>TASK-DB-001</v>
      </c>
      <c r="F7" s="13" t="str">
        <f>=Dashboard!F28</f>
        <v>Not Started</v>
      </c>
      <c r="G7" s="6" t="s">
        <v>156</v>
      </c>
      <c r="H7" s="6" t="s">
        <v>157</v>
      </c>
      <c r="I7" s="6" t="s">
        <v>139</v>
      </c>
      <c r="J7" s="6" t="s">
        <v>158</v>
      </c>
      <c r="K7" s="6" t="s">
        <v>96</v>
      </c>
      <c r="L7" s="13" t="s">
        <v>166</v>
      </c>
      <c r="M7" s="13" t="s">
        <v>73</v>
      </c>
      <c r="N7" s="6" t="str">
        <f>=Dashboard!Q28</f>
        <v>Support: Adithyan N. Collection indices</v>
      </c>
    </row>
    <row r="8" spans="1:14" x14ac:dyDescent="0.25">
      <c r="A8" s="15" t="str">
        <f>=Dashboard!A37</f>
        <v>TASK-DB-013</v>
      </c>
      <c r="B8" s="9" t="str">
        <f>=Dashboard!C37</f>
        <v>Indexes</v>
      </c>
      <c r="C8" s="9" t="str">
        <f>=Dashboard!D37</f>
        <v>Fathima Hana</v>
      </c>
      <c r="D8" s="15" t="str">
        <f>=Dashboard!E37</f>
        <v>High</v>
      </c>
      <c r="E8" s="15" t="str">
        <f>=Dashboard!I37</f>
        <v>TASK-DB-001</v>
      </c>
      <c r="F8" s="15" t="str">
        <f>=Dashboard!F37</f>
        <v>Not Started</v>
      </c>
      <c r="G8" s="9" t="s">
        <v>211</v>
      </c>
      <c r="H8" s="9" t="s">
        <v>212</v>
      </c>
      <c r="I8" s="9" t="s">
        <v>213</v>
      </c>
      <c r="J8" s="9" t="s">
        <v>214</v>
      </c>
      <c r="K8" s="9" t="s">
        <v>96</v>
      </c>
      <c r="L8" s="15" t="s">
        <v>166</v>
      </c>
      <c r="M8" s="15" t="s">
        <v>73</v>
      </c>
      <c r="N8" s="9" t="str">
        <f>=Dashboard!Q37</f>
        <v>Support: Adithyan N. Index strategies verified</v>
      </c>
    </row>
    <row r="9" spans="1:14" x14ac:dyDescent="0.25">
      <c r="A9" s="13" t="str">
        <f>=Dashboard!A38</f>
        <v>TASK-DB-014</v>
      </c>
      <c r="B9" s="6" t="str">
        <f>=Dashboard!C38</f>
        <v>Relationships</v>
      </c>
      <c r="C9" s="6" t="str">
        <f>=Dashboard!D38</f>
        <v>Fathima Hana</v>
      </c>
      <c r="D9" s="13" t="str">
        <f>=Dashboard!E38</f>
        <v>Medium</v>
      </c>
      <c r="E9" s="13" t="str">
        <f>=Dashboard!I38</f>
        <v>TASK-DB-002</v>
      </c>
      <c r="F9" s="13" t="str">
        <f>=Dashboard!F38</f>
        <v>Not Started</v>
      </c>
      <c r="G9" s="6" t="s">
        <v>218</v>
      </c>
      <c r="H9" s="6" t="s">
        <v>219</v>
      </c>
      <c r="I9" s="6" t="s">
        <v>220</v>
      </c>
      <c r="J9" s="6" t="s">
        <v>221</v>
      </c>
      <c r="K9" s="6" t="s">
        <v>96</v>
      </c>
      <c r="L9" s="13" t="s">
        <v>166</v>
      </c>
      <c r="M9" s="13" t="s">
        <v>73</v>
      </c>
      <c r="N9" s="6" t="str">
        <f>=Dashboard!Q38</f>
        <v>Support: Adithyan N. Strict Mongoose validations</v>
      </c>
    </row>
    <row r="10" spans="1:14" x14ac:dyDescent="0.25">
      <c r="A10" s="15" t="str">
        <f>=Dashboard!A39</f>
        <v>TASK-DB-015</v>
      </c>
      <c r="B10" s="9" t="str">
        <f>=Dashboard!C39</f>
        <v>Validation rules</v>
      </c>
      <c r="C10" s="9" t="str">
        <f>=Dashboard!D39</f>
        <v>Fathima Hana</v>
      </c>
      <c r="D10" s="15" t="str">
        <f>=Dashboard!E39</f>
        <v>High</v>
      </c>
      <c r="E10" s="15" t="str">
        <f>=Dashboard!I39</f>
        <v>TASK-DB-001</v>
      </c>
      <c r="F10" s="15" t="str">
        <f>=Dashboard!F39</f>
        <v>Not Started</v>
      </c>
      <c r="G10" s="9" t="s">
        <v>225</v>
      </c>
      <c r="H10" s="9" t="s">
        <v>226</v>
      </c>
      <c r="I10" s="9" t="s">
        <v>227</v>
      </c>
      <c r="J10" s="9" t="s">
        <v>228</v>
      </c>
      <c r="K10" s="9" t="s">
        <v>96</v>
      </c>
      <c r="L10" s="15" t="s">
        <v>166</v>
      </c>
      <c r="M10" s="15" t="s">
        <v>166</v>
      </c>
      <c r="N10" s="9" t="str">
        <f>=Dashboard!Q39</f>
        <v>Support: Adithyan N. Input sanity checker</v>
      </c>
    </row>
    <row r="11" spans="1:14" x14ac:dyDescent="0.25">
      <c r="A11" s="13" t="str">
        <f>=Dashboard!A41</f>
        <v>TASK-BE-001</v>
      </c>
      <c r="B11" s="6" t="str">
        <f>=Dashboard!C41</f>
        <v>Express setup</v>
      </c>
      <c r="C11" s="6" t="str">
        <f>=Dashboard!D41</f>
        <v>Muhammad Sanish</v>
      </c>
      <c r="D11" s="13" t="str">
        <f>=Dashboard!E41</f>
        <v>Critical</v>
      </c>
      <c r="E11" s="13" t="str">
        <f>=Dashboard!I41</f>
        <v>TASK-INF-005</v>
      </c>
      <c r="F11" s="13" t="str">
        <f>=Dashboard!F41</f>
        <v>Not Started</v>
      </c>
      <c r="G11" s="6" t="s">
        <v>239</v>
      </c>
      <c r="H11" s="6" t="s">
        <v>240</v>
      </c>
      <c r="I11" s="6" t="s">
        <v>241</v>
      </c>
      <c r="J11" s="6" t="s">
        <v>242</v>
      </c>
      <c r="K11" s="6" t="s">
        <v>243</v>
      </c>
      <c r="L11" s="13" t="s">
        <v>166</v>
      </c>
      <c r="M11" s="13" t="s">
        <v>166</v>
      </c>
      <c r="N11" s="6" t="str">
        <f>=Dashboard!Q41</f>
        <v>Security middleware active</v>
      </c>
    </row>
    <row r="12" spans="1:14" x14ac:dyDescent="0.25">
      <c r="A12" s="15" t="str">
        <f>=Dashboard!A42</f>
        <v>TASK-BE-002</v>
      </c>
      <c r="B12" s="9" t="str">
        <f>=Dashboard!C42</f>
        <v>MongoDB connection</v>
      </c>
      <c r="C12" s="9" t="str">
        <f>=Dashboard!D42</f>
        <v>Muhammad Sanish</v>
      </c>
      <c r="D12" s="15" t="str">
        <f>=Dashboard!E42</f>
        <v>Critical</v>
      </c>
      <c r="E12" s="15" t="str">
        <f>=Dashboard!I42</f>
        <v>TASK-INF-004</v>
      </c>
      <c r="F12" s="15" t="str">
        <f>=Dashboard!F42</f>
        <v>Not Started</v>
      </c>
      <c r="G12" s="9" t="s">
        <v>247</v>
      </c>
      <c r="H12" s="9" t="s">
        <v>248</v>
      </c>
      <c r="I12" s="9" t="s">
        <v>249</v>
      </c>
      <c r="J12" s="9" t="s">
        <v>250</v>
      </c>
      <c r="K12" s="9" t="s">
        <v>243</v>
      </c>
      <c r="L12" s="15" t="s">
        <v>166</v>
      </c>
      <c r="M12" s="15" t="s">
        <v>73</v>
      </c>
      <c r="N12" s="9" t="str">
        <f>=Dashboard!Q42</f>
        <v>Connection pool set to 10 connections max</v>
      </c>
    </row>
    <row r="13" spans="1:14" x14ac:dyDescent="0.25">
      <c r="A13" s="13" t="str">
        <f>=Dashboard!A43</f>
        <v>TASK-BE-003</v>
      </c>
      <c r="B13" s="6" t="str">
        <f>=Dashboard!C43</f>
        <v>Environment configuration</v>
      </c>
      <c r="C13" s="6" t="str">
        <f>=Dashboard!D43</f>
        <v>Muhammad Sanish</v>
      </c>
      <c r="D13" s="13" t="str">
        <f>=Dashboard!E43</f>
        <v>High</v>
      </c>
      <c r="E13" s="13" t="str">
        <f>=Dashboard!I43</f>
        <v>TASK-INF-005</v>
      </c>
      <c r="F13" s="13" t="str">
        <f>=Dashboard!F43</f>
        <v>Not Started</v>
      </c>
      <c r="G13" s="6" t="s">
        <v>254</v>
      </c>
      <c r="H13" s="6" t="s">
        <v>255</v>
      </c>
      <c r="I13" s="6" t="s">
        <v>256</v>
      </c>
      <c r="J13" s="6" t="s">
        <v>257</v>
      </c>
      <c r="K13" s="6" t="s">
        <v>243</v>
      </c>
      <c r="L13" s="13" t="s">
        <v>166</v>
      </c>
      <c r="M13" s="13" t="s">
        <v>166</v>
      </c>
      <c r="N13" s="6" t="str">
        <f>=Dashboard!Q43</f>
        <v>Throws startup error on missing keys</v>
      </c>
    </row>
    <row r="14" spans="1:14" x14ac:dyDescent="0.25">
      <c r="A14" s="15" t="str">
        <f>=Dashboard!A48</f>
        <v>TASK-BE-008</v>
      </c>
      <c r="B14" s="9" t="str">
        <f>=Dashboard!C48</f>
        <v>RBAC middleware</v>
      </c>
      <c r="C14" s="9" t="str">
        <f>=Dashboard!D48</f>
        <v>Muhammad Sanish</v>
      </c>
      <c r="D14" s="15" t="str">
        <f>=Dashboard!E48</f>
        <v>Critical</v>
      </c>
      <c r="E14" s="15" t="str">
        <f>=Dashboard!I48</f>
        <v>TASK-BE-005</v>
      </c>
      <c r="F14" s="15" t="str">
        <f>=Dashboard!F48</f>
        <v>Not Started</v>
      </c>
      <c r="G14" s="9" t="s">
        <v>289</v>
      </c>
      <c r="H14" s="9" t="s">
        <v>290</v>
      </c>
      <c r="I14" s="9" t="s">
        <v>291</v>
      </c>
      <c r="J14" s="9" t="s">
        <v>292</v>
      </c>
      <c r="K14" s="9" t="s">
        <v>243</v>
      </c>
      <c r="L14" s="15" t="s">
        <v>166</v>
      </c>
      <c r="M14" s="15" t="s">
        <v>166</v>
      </c>
      <c r="N14" s="9" t="str">
        <f>=Dashboard!Q48</f>
        <v>Role sets validation checks</v>
      </c>
    </row>
    <row r="15" spans="1:14" x14ac:dyDescent="0.25">
      <c r="A15" s="13" t="str">
        <f>=Dashboard!A50</f>
        <v>TASK-BE-010</v>
      </c>
      <c r="B15" s="6" t="str">
        <f>=Dashboard!C50</f>
        <v>Error middleware</v>
      </c>
      <c r="C15" s="6" t="str">
        <f>=Dashboard!D50</f>
        <v>Muhammad Sanish</v>
      </c>
      <c r="D15" s="13" t="str">
        <f>=Dashboard!E50</f>
        <v>Medium</v>
      </c>
      <c r="E15" s="13" t="str">
        <f>=Dashboard!I50</f>
        <v>TASK-BE-001</v>
      </c>
      <c r="F15" s="13" t="str">
        <f>=Dashboard!F50</f>
        <v>Not Started</v>
      </c>
      <c r="G15" s="6" t="s">
        <v>303</v>
      </c>
      <c r="H15" s="6" t="s">
        <v>304</v>
      </c>
      <c r="I15" s="6" t="s">
        <v>305</v>
      </c>
      <c r="J15" s="6" t="s">
        <v>306</v>
      </c>
      <c r="K15" s="6" t="s">
        <v>243</v>
      </c>
      <c r="L15" s="13" t="s">
        <v>166</v>
      </c>
      <c r="M15" s="13" t="s">
        <v>73</v>
      </c>
      <c r="N15" s="6" t="str">
        <f>=Dashboard!Q50</f>
        <v>Redacts stack traces in production environment</v>
      </c>
    </row>
    <row r="16" spans="1:14" x14ac:dyDescent="0.25">
      <c r="A16" s="15" t="str">
        <f>=Dashboard!A51</f>
        <v>TASK-BE-011</v>
      </c>
      <c r="B16" s="9" t="str">
        <f>=Dashboard!C51</f>
        <v>Validation middleware</v>
      </c>
      <c r="C16" s="9" t="str">
        <f>=Dashboard!D51</f>
        <v>Muhammad Sanish</v>
      </c>
      <c r="D16" s="15" t="str">
        <f>=Dashboard!E51</f>
        <v>High</v>
      </c>
      <c r="E16" s="15" t="str">
        <f>=Dashboard!I51</f>
        <v>TASK-BE-001</v>
      </c>
      <c r="F16" s="15" t="str">
        <f>=Dashboard!F51</f>
        <v>Not Started</v>
      </c>
      <c r="G16" s="9" t="s">
        <v>310</v>
      </c>
      <c r="H16" s="9" t="s">
        <v>311</v>
      </c>
      <c r="I16" s="9" t="s">
        <v>312</v>
      </c>
      <c r="J16" s="9" t="s">
        <v>313</v>
      </c>
      <c r="K16" s="9" t="s">
        <v>243</v>
      </c>
      <c r="L16" s="15" t="s">
        <v>166</v>
      </c>
      <c r="M16" s="15" t="s">
        <v>166</v>
      </c>
      <c r="N16" s="9" t="str">
        <f>=Dashboard!Q51</f>
        <v>Strips unauthorized fields</v>
      </c>
    </row>
    <row r="17" spans="1:14" x14ac:dyDescent="0.25">
      <c r="A17" s="13" t="str">
        <f>=Dashboard!A58</f>
        <v>TASK-BE-018</v>
      </c>
      <c r="B17" s="6" t="str">
        <f>=Dashboard!C58</f>
        <v>Rate limiting</v>
      </c>
      <c r="C17" s="6" t="str">
        <f>=Dashboard!D58</f>
        <v>Muhammad Sanish</v>
      </c>
      <c r="D17" s="13" t="str">
        <f>=Dashboard!E58</f>
        <v>High</v>
      </c>
      <c r="E17" s="13" t="str">
        <f>=Dashboard!I58</f>
        <v>TASK-BE-001</v>
      </c>
      <c r="F17" s="13" t="str">
        <f>=Dashboard!F58</f>
        <v>Not Started</v>
      </c>
      <c r="G17" s="6" t="s">
        <v>355</v>
      </c>
      <c r="H17" s="6" t="s">
        <v>356</v>
      </c>
      <c r="I17" s="6" t="s">
        <v>357</v>
      </c>
      <c r="J17" s="6" t="s">
        <v>358</v>
      </c>
      <c r="K17" s="6" t="s">
        <v>243</v>
      </c>
      <c r="L17" s="13" t="s">
        <v>166</v>
      </c>
      <c r="M17" s="13" t="s">
        <v>166</v>
      </c>
      <c r="N17" s="6" t="str">
        <f>=Dashboard!Q58</f>
        <v>Prevents brute force attempts</v>
      </c>
    </row>
    <row r="18" spans="1:14" x14ac:dyDescent="0.25">
      <c r="A18" s="15" t="str">
        <f>=Dashboard!A59</f>
        <v>TASK-BE-019</v>
      </c>
      <c r="B18" s="9" t="str">
        <f>=Dashboard!C59</f>
        <v>Health check API</v>
      </c>
      <c r="C18" s="9" t="str">
        <f>=Dashboard!D59</f>
        <v>Muhammad Sanish</v>
      </c>
      <c r="D18" s="15" t="str">
        <f>=Dashboard!E59</f>
        <v>Low</v>
      </c>
      <c r="E18" s="15" t="str">
        <f>=Dashboard!I59</f>
        <v>TASK-BE-001</v>
      </c>
      <c r="F18" s="15" t="str">
        <f>=Dashboard!F59</f>
        <v>Not Started</v>
      </c>
      <c r="G18" s="9" t="s">
        <v>363</v>
      </c>
      <c r="H18" s="9" t="s">
        <v>364</v>
      </c>
      <c r="I18" s="9" t="s">
        <v>365</v>
      </c>
      <c r="J18" s="9" t="s">
        <v>366</v>
      </c>
      <c r="K18" s="9" t="s">
        <v>243</v>
      </c>
      <c r="L18" s="15" t="s">
        <v>166</v>
      </c>
      <c r="M18" s="15" t="s">
        <v>73</v>
      </c>
      <c r="N18" s="9" t="str">
        <f>=Dashboard!Q59</f>
        <v>Returns DB status and memory limits details</v>
      </c>
    </row>
    <row r="19" spans="1:14" x14ac:dyDescent="0.25">
      <c r="A19" s="13" t="str">
        <f>=Dashboard!A61</f>
        <v>TASK-FE-001</v>
      </c>
      <c r="B19" s="6" t="str">
        <f>=Dashboard!C61</f>
        <v>React project setup</v>
      </c>
      <c r="C19" s="6" t="str">
        <f>=Dashboard!D61</f>
        <v>Adithyan N</v>
      </c>
      <c r="D19" s="13" t="str">
        <f>=Dashboard!E61</f>
        <v>High</v>
      </c>
      <c r="E19" s="13" t="str">
        <f>=Dashboard!I61</f>
        <v>None</v>
      </c>
      <c r="F19" s="13" t="str">
        <f>=Dashboard!F61</f>
        <v>Not Started</v>
      </c>
      <c r="G19" s="6" t="s">
        <v>377</v>
      </c>
      <c r="H19" s="6" t="s">
        <v>378</v>
      </c>
      <c r="I19" s="6" t="s">
        <v>379</v>
      </c>
      <c r="J19" s="6" t="s">
        <v>380</v>
      </c>
      <c r="K19" s="6" t="s">
        <v>381</v>
      </c>
      <c r="L19" s="13" t="s">
        <v>166</v>
      </c>
      <c r="M19" s="13" t="s">
        <v>73</v>
      </c>
      <c r="N19" s="6" t="str">
        <f>=Dashboard!Q61</f>
        <v>Project workspace initialized</v>
      </c>
    </row>
    <row r="20" spans="1:14" x14ac:dyDescent="0.25">
      <c r="A20" s="15" t="str">
        <f>=Dashboard!A62</f>
        <v>TASK-FE-002</v>
      </c>
      <c r="B20" s="9" t="str">
        <f>=Dashboard!C62</f>
        <v>Tailwind setup</v>
      </c>
      <c r="C20" s="9" t="str">
        <f>=Dashboard!D62</f>
        <v>Adithyan N</v>
      </c>
      <c r="D20" s="15" t="str">
        <f>=Dashboard!E62</f>
        <v>High</v>
      </c>
      <c r="E20" s="15" t="str">
        <f>=Dashboard!I62</f>
        <v>TASK-FE-001</v>
      </c>
      <c r="F20" s="15" t="str">
        <f>=Dashboard!F62</f>
        <v>Not Started</v>
      </c>
      <c r="G20" s="9" t="s">
        <v>385</v>
      </c>
      <c r="H20" s="9" t="s">
        <v>386</v>
      </c>
      <c r="I20" s="9" t="s">
        <v>387</v>
      </c>
      <c r="J20" s="9" t="s">
        <v>388</v>
      </c>
      <c r="K20" s="9" t="s">
        <v>381</v>
      </c>
      <c r="L20" s="15" t="s">
        <v>166</v>
      </c>
      <c r="M20" s="15" t="s">
        <v>73</v>
      </c>
      <c r="N20" s="9" t="str">
        <f>=Dashboard!Q62</f>
        <v>Custom theme color palettes mapped</v>
      </c>
    </row>
    <row r="21" spans="1:14" x14ac:dyDescent="0.25">
      <c r="A21" s="13" t="str">
        <f>=Dashboard!A63</f>
        <v>TASK-FE-003</v>
      </c>
      <c r="B21" s="6" t="str">
        <f>=Dashboard!C63</f>
        <v>Folder structure</v>
      </c>
      <c r="C21" s="6" t="str">
        <f>=Dashboard!D63</f>
        <v>Adithyan N</v>
      </c>
      <c r="D21" s="13" t="str">
        <f>=Dashboard!E63</f>
        <v>Medium</v>
      </c>
      <c r="E21" s="13" t="str">
        <f>=Dashboard!I63</f>
        <v>TASK-FE-001</v>
      </c>
      <c r="F21" s="13" t="str">
        <f>=Dashboard!F63</f>
        <v>Not Started</v>
      </c>
      <c r="G21" s="6" t="s">
        <v>392</v>
      </c>
      <c r="H21" s="6" t="s">
        <v>393</v>
      </c>
      <c r="I21" s="6" t="s">
        <v>394</v>
      </c>
      <c r="J21" s="6" t="s">
        <v>395</v>
      </c>
      <c r="K21" s="6" t="s">
        <v>381</v>
      </c>
      <c r="L21" s="13" t="s">
        <v>73</v>
      </c>
      <c r="M21" s="13" t="s">
        <v>73</v>
      </c>
      <c r="N21" s="6" t="str">
        <f>=Dashboard!Q63</f>
        <v>Standard clean coding layout</v>
      </c>
    </row>
    <row r="22" spans="1:14" x14ac:dyDescent="0.25">
      <c r="A22" s="15" t="str">
        <f>=Dashboard!A64</f>
        <v>TASK-FE-004</v>
      </c>
      <c r="B22" s="9" t="str">
        <f>=Dashboard!C64</f>
        <v>Global layout</v>
      </c>
      <c r="C22" s="9" t="str">
        <f>=Dashboard!D64</f>
        <v>Adithyan N</v>
      </c>
      <c r="D22" s="15" t="str">
        <f>=Dashboard!E64</f>
        <v>High</v>
      </c>
      <c r="E22" s="15" t="str">
        <f>=Dashboard!I64</f>
        <v>TASK-FE-003</v>
      </c>
      <c r="F22" s="15" t="str">
        <f>=Dashboard!F64</f>
        <v>Not Started</v>
      </c>
      <c r="G22" s="9" t="s">
        <v>399</v>
      </c>
      <c r="H22" s="9" t="s">
        <v>400</v>
      </c>
      <c r="I22" s="9" t="s">
        <v>401</v>
      </c>
      <c r="J22" s="9" t="s">
        <v>402</v>
      </c>
      <c r="K22" s="9" t="s">
        <v>381</v>
      </c>
      <c r="L22" s="15" t="s">
        <v>166</v>
      </c>
      <c r="M22" s="15" t="s">
        <v>73</v>
      </c>
      <c r="N22" s="9" t="str">
        <f>=Dashboard!Q64</f>
        <v>Mobile responsive shell layout</v>
      </c>
    </row>
    <row r="23" spans="1:14" x14ac:dyDescent="0.25">
      <c r="A23" s="13" t="str">
        <f>=Dashboard!A65</f>
        <v>TASK-FE-005</v>
      </c>
      <c r="B23" s="6" t="str">
        <f>=Dashboard!C65</f>
        <v>Routing</v>
      </c>
      <c r="C23" s="6" t="str">
        <f>=Dashboard!D65</f>
        <v>Adithyan N</v>
      </c>
      <c r="D23" s="13" t="str">
        <f>=Dashboard!E65</f>
        <v>High</v>
      </c>
      <c r="E23" s="13" t="str">
        <f>=Dashboard!I65</f>
        <v>TASK-FE-001</v>
      </c>
      <c r="F23" s="13" t="str">
        <f>=Dashboard!F65</f>
        <v>Not Started</v>
      </c>
      <c r="G23" s="6" t="s">
        <v>406</v>
      </c>
      <c r="H23" s="6" t="s">
        <v>407</v>
      </c>
      <c r="I23" s="6" t="s">
        <v>408</v>
      </c>
      <c r="J23" s="6" t="s">
        <v>409</v>
      </c>
      <c r="K23" s="6" t="s">
        <v>381</v>
      </c>
      <c r="L23" s="13" t="s">
        <v>166</v>
      </c>
      <c r="M23" s="13" t="s">
        <v>73</v>
      </c>
      <c r="N23" s="6" t="str">
        <f>=Dashboard!Q65</f>
        <v>URL router structure finalized</v>
      </c>
    </row>
    <row r="24" spans="1:14" x14ac:dyDescent="0.25">
      <c r="A24" s="15" t="str">
        <f>=Dashboard!A66</f>
        <v>TASK-FE-006</v>
      </c>
      <c r="B24" s="9" t="str">
        <f>=Dashboard!C66</f>
        <v>Protected routes</v>
      </c>
      <c r="C24" s="9" t="str">
        <f>=Dashboard!D66</f>
        <v>Adithyan N</v>
      </c>
      <c r="D24" s="15" t="str">
        <f>=Dashboard!E66</f>
        <v>High</v>
      </c>
      <c r="E24" s="15" t="str">
        <f>=Dashboard!I66</f>
        <v>TASK-FE-005</v>
      </c>
      <c r="F24" s="15" t="str">
        <f>=Dashboard!F66</f>
        <v>Not Started</v>
      </c>
      <c r="G24" s="9" t="s">
        <v>413</v>
      </c>
      <c r="H24" s="9" t="s">
        <v>414</v>
      </c>
      <c r="I24" s="9" t="s">
        <v>415</v>
      </c>
      <c r="J24" s="9" t="s">
        <v>416</v>
      </c>
      <c r="K24" s="9" t="s">
        <v>381</v>
      </c>
      <c r="L24" s="15" t="s">
        <v>166</v>
      </c>
      <c r="M24" s="15" t="s">
        <v>166</v>
      </c>
      <c r="N24" s="9" t="str">
        <f>=Dashboard!Q66</f>
        <v>Redirects guest to login page</v>
      </c>
    </row>
    <row r="25" spans="1:14" x14ac:dyDescent="0.25">
      <c r="A25" s="13" t="str">
        <f>=Dashboard!A67</f>
        <v>TASK-FE-007</v>
      </c>
      <c r="B25" s="6" t="str">
        <f>=Dashboard!C67</f>
        <v>Axios client</v>
      </c>
      <c r="C25" s="6" t="str">
        <f>=Dashboard!D67</f>
        <v>Adithyan N</v>
      </c>
      <c r="D25" s="13" t="str">
        <f>=Dashboard!E67</f>
        <v>High</v>
      </c>
      <c r="E25" s="13" t="str">
        <f>=Dashboard!I67</f>
        <v>None</v>
      </c>
      <c r="F25" s="13" t="str">
        <f>=Dashboard!F67</f>
        <v>Not Started</v>
      </c>
      <c r="G25" s="6" t="s">
        <v>420</v>
      </c>
      <c r="H25" s="6" t="s">
        <v>421</v>
      </c>
      <c r="I25" s="6" t="s">
        <v>422</v>
      </c>
      <c r="J25" s="6" t="s">
        <v>423</v>
      </c>
      <c r="K25" s="6" t="s">
        <v>381</v>
      </c>
      <c r="L25" s="13" t="s">
        <v>166</v>
      </c>
      <c r="M25" s="13" t="s">
        <v>73</v>
      </c>
      <c r="N25" s="6" t="str">
        <f>=Dashboard!Q67</f>
        <v>Base configuration templates</v>
      </c>
    </row>
    <row r="26" spans="1:14" x14ac:dyDescent="0.25">
      <c r="A26" s="15" t="str">
        <f>=Dashboard!A68</f>
        <v>TASK-FE-008</v>
      </c>
      <c r="B26" s="9" t="str">
        <f>=Dashboard!C68</f>
        <v>API interceptors</v>
      </c>
      <c r="C26" s="9" t="str">
        <f>=Dashboard!D68</f>
        <v>Adithyan N</v>
      </c>
      <c r="D26" s="15" t="str">
        <f>=Dashboard!E68</f>
        <v>High</v>
      </c>
      <c r="E26" s="15" t="str">
        <f>=Dashboard!I68</f>
        <v>TASK-FE-007</v>
      </c>
      <c r="F26" s="15" t="str">
        <f>=Dashboard!F68</f>
        <v>Not Started</v>
      </c>
      <c r="G26" s="9" t="s">
        <v>427</v>
      </c>
      <c r="H26" s="9" t="s">
        <v>428</v>
      </c>
      <c r="I26" s="9" t="s">
        <v>429</v>
      </c>
      <c r="J26" s="9" t="s">
        <v>430</v>
      </c>
      <c r="K26" s="9" t="s">
        <v>381</v>
      </c>
      <c r="L26" s="15" t="s">
        <v>166</v>
      </c>
      <c r="M26" s="15" t="s">
        <v>166</v>
      </c>
      <c r="N26" s="9" t="str">
        <f>=Dashboard!Q68</f>
        <v>Auto attaches auth tokens to headers</v>
      </c>
    </row>
    <row r="27" spans="1:14" x14ac:dyDescent="0.25">
      <c r="A27" s="13" t="str">
        <f>=Dashboard!A79</f>
        <v>TASK-FE-019</v>
      </c>
      <c r="B27" s="6" t="str">
        <f>=Dashboard!C79</f>
        <v>Reusable Components</v>
      </c>
      <c r="C27" s="6" t="str">
        <f>=Dashboard!D79</f>
        <v>Adithyan N</v>
      </c>
      <c r="D27" s="13" t="str">
        <f>=Dashboard!E79</f>
        <v>Medium</v>
      </c>
      <c r="E27" s="13" t="str">
        <f>=Dashboard!I79</f>
        <v>TASK-FE-002</v>
      </c>
      <c r="F27" s="13" t="str">
        <f>=Dashboard!F79</f>
        <v>Not Started</v>
      </c>
      <c r="G27" s="6" t="s">
        <v>504</v>
      </c>
      <c r="H27" s="6" t="s">
        <v>505</v>
      </c>
      <c r="I27" s="6" t="s">
        <v>506</v>
      </c>
      <c r="J27" s="6" t="s">
        <v>507</v>
      </c>
      <c r="K27" s="6" t="s">
        <v>381</v>
      </c>
      <c r="L27" s="13" t="s">
        <v>166</v>
      </c>
      <c r="M27" s="13" t="s">
        <v>73</v>
      </c>
      <c r="N27" s="6" t="str">
        <f>=Dashboard!Q79</f>
        <v>Common component assets</v>
      </c>
    </row>
    <row r="28" spans="1:14" x14ac:dyDescent="0.25">
      <c r="A28" s="15" t="str">
        <f>=Dashboard!A82</f>
        <v>TASK-FE-022</v>
      </c>
      <c r="B28" s="9" t="str">
        <f>=Dashboard!C82</f>
        <v>Error boundaries</v>
      </c>
      <c r="C28" s="9" t="str">
        <f>=Dashboard!D82</f>
        <v>Adithyan N</v>
      </c>
      <c r="D28" s="15" t="str">
        <f>=Dashboard!E82</f>
        <v>Low</v>
      </c>
      <c r="E28" s="15" t="str">
        <f>=Dashboard!I82</f>
        <v>TASK-FE-001</v>
      </c>
      <c r="F28" s="15" t="str">
        <f>=Dashboard!F82</f>
        <v>Not Started</v>
      </c>
      <c r="G28" s="9" t="s">
        <v>525</v>
      </c>
      <c r="H28" s="9" t="s">
        <v>526</v>
      </c>
      <c r="I28" s="9" t="s">
        <v>527</v>
      </c>
      <c r="J28" s="9" t="s">
        <v>528</v>
      </c>
      <c r="K28" s="9" t="s">
        <v>381</v>
      </c>
      <c r="L28" s="15" t="s">
        <v>166</v>
      </c>
      <c r="M28" s="15" t="s">
        <v>73</v>
      </c>
      <c r="N28" s="9" t="str">
        <f>=Dashboard!Q82</f>
        <v>No stack details shown in production UI</v>
      </c>
    </row>
    <row r="29" spans="1:14" x14ac:dyDescent="0.25">
      <c r="A29" s="13" t="str">
        <f>=Dashboard!A83</f>
        <v>TASK-FE-023</v>
      </c>
      <c r="B29" s="6" t="str">
        <f>=Dashboard!C83</f>
        <v>Loading components</v>
      </c>
      <c r="C29" s="6" t="str">
        <f>=Dashboard!D83</f>
        <v>Adithyan N</v>
      </c>
      <c r="D29" s="13" t="str">
        <f>=Dashboard!E83</f>
        <v>Low</v>
      </c>
      <c r="E29" s="13" t="str">
        <f>=Dashboard!I83</f>
        <v>TASK-FE-001</v>
      </c>
      <c r="F29" s="13" t="str">
        <f>=Dashboard!F83</f>
        <v>Not Started</v>
      </c>
      <c r="G29" s="6" t="s">
        <v>532</v>
      </c>
      <c r="H29" s="6" t="s">
        <v>533</v>
      </c>
      <c r="I29" s="6" t="s">
        <v>534</v>
      </c>
      <c r="J29" s="6" t="s">
        <v>535</v>
      </c>
      <c r="K29" s="6" t="s">
        <v>381</v>
      </c>
      <c r="L29" s="13" t="s">
        <v>166</v>
      </c>
      <c r="M29" s="13" t="s">
        <v>73</v>
      </c>
      <c r="N29" s="6" t="str">
        <f>=Dashboard!Q83</f>
        <v>Visual placeholders setup</v>
      </c>
    </row>
    <row r="30" spans="1:14" x14ac:dyDescent="0.25">
      <c r="A30" s="15" t="str">
        <f>=Dashboard!A103</f>
        <v>TASK-QA-001</v>
      </c>
      <c r="B30" s="9" t="str">
        <f>=Dashboard!C103</f>
        <v>Requirement traceability</v>
      </c>
      <c r="C30" s="9" t="str">
        <f>=Dashboard!D103</f>
        <v>Minha Palakkathodi</v>
      </c>
      <c r="D30" s="15" t="str">
        <f>=Dashboard!E103</f>
        <v>High</v>
      </c>
      <c r="E30" s="15" t="str">
        <f>=Dashboard!I103</f>
        <v>None</v>
      </c>
      <c r="F30" s="15" t="str">
        <f>=Dashboard!F103</f>
        <v>Not Started</v>
      </c>
      <c r="G30" s="9" t="s">
        <v>673</v>
      </c>
      <c r="H30" s="9" t="s">
        <v>674</v>
      </c>
      <c r="I30" s="9" t="s">
        <v>675</v>
      </c>
      <c r="J30" s="9" t="s">
        <v>676</v>
      </c>
      <c r="K30" s="9" t="s">
        <v>677</v>
      </c>
      <c r="L30" s="15" t="s">
        <v>73</v>
      </c>
      <c r="M30" s="15" t="s">
        <v>73</v>
      </c>
      <c r="N30" s="9" t="str">
        <f>=Dashboard!Q103</f>
        <v>Traceability index setup</v>
      </c>
    </row>
  </sheetData>
  <autoFilter ref="A2:N30"/>
  <mergeCells count="1">
    <mergeCell ref="A1:N1"/>
  </mergeCells>
  <conditionalFormatting sqref="F3:F30">
    <cfRule type="cellIs" dxfId="18" priority="1" operator="equal">
      <formula>"Completed"</formula>
    </cfRule>
    <cfRule type="cellIs" dxfId="19" priority="2" operator="equal">
      <formula>"In Progress"</formula>
    </cfRule>
    <cfRule type="cellIs" dxfId="20" priority="3" operator="equal">
      <formula>"Review"</formula>
    </cfRule>
    <cfRule type="cellIs" dxfId="21" priority="4" operator="equal">
      <formula>"Blocked"</formula>
    </cfRule>
    <cfRule type="cellIs" dxfId="22" priority="5" operator="equal">
      <formula>"Not Started"</formula>
    </cfRule>
  </conditionalFormatting>
  <conditionalFormatting sqref="D3:D30">
    <cfRule type="cellIs" dxfId="23" priority="6" operator="equal">
      <formula>"Critical"</formula>
    </cfRule>
    <cfRule type="cellIs" dxfId="24" priority="7" operator="equal">
      <formula>"High"</formula>
    </cfRule>
    <cfRule type="cellIs" dxfId="25" priority="8" operator="equal">
      <formula>"Medium"</formula>
    </cfRule>
    <cfRule type="cellIs" dxfId="26" priority="9" operator="equal">
      <formula>"Low"</formula>
    </cfRule>
  </conditionalFormatting>
  <dataValidations count="4">
    <dataValidation type="list" allowBlank="1" sqref="D10:D30">
      <formula1>"Critical,High,Medium,Low"</formula1>
    </dataValidation>
    <dataValidation type="list" allowBlank="1" sqref="D3:D30">
      <formula1>"Critical,High,Medium,Low"</formula1>
    </dataValidation>
    <dataValidation type="list" allowBlank="1" sqref="F10:F30">
      <formula1>"Not Started,In Progress,Review,Completed,Blocked"</formula1>
    </dataValidation>
    <dataValidation type="list" allowBlank="1" sqref="F3:F30">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751</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=Dashboard!A29</f>
        <v>TASK-DB-005</v>
      </c>
      <c r="B3" s="6" t="str">
        <f>=Dashboard!C29</f>
        <v>Complaint schema</v>
      </c>
      <c r="C3" s="6" t="str">
        <f>=Dashboard!D29</f>
        <v>Fathima Hana</v>
      </c>
      <c r="D3" s="13" t="str">
        <f>=Dashboard!E29</f>
        <v>Critical</v>
      </c>
      <c r="E3" s="13" t="str">
        <f>=Dashboard!I29</f>
        <v>TASK-DB-001</v>
      </c>
      <c r="F3" s="13" t="str">
        <f>=Dashboard!F29</f>
        <v>Not Started</v>
      </c>
      <c r="G3" s="6" t="s">
        <v>162</v>
      </c>
      <c r="H3" s="6" t="s">
        <v>163</v>
      </c>
      <c r="I3" s="6" t="s">
        <v>139</v>
      </c>
      <c r="J3" s="6" t="s">
        <v>164</v>
      </c>
      <c r="K3" s="6" t="s">
        <v>96</v>
      </c>
      <c r="L3" s="13" t="s">
        <v>166</v>
      </c>
      <c r="M3" s="13" t="s">
        <v>166</v>
      </c>
      <c r="N3" s="6" t="str">
        <f>=Dashboard!Q29</f>
        <v>Support: Adithyan N. Handles attachments path strings</v>
      </c>
    </row>
    <row r="4" spans="1:14" x14ac:dyDescent="0.25">
      <c r="A4" s="15" t="str">
        <f>=Dashboard!A30</f>
        <v>TASK-DB-006</v>
      </c>
      <c r="B4" s="9" t="str">
        <f>=Dashboard!C30</f>
        <v>Complaint assignment schema</v>
      </c>
      <c r="C4" s="9" t="str">
        <f>=Dashboard!D30</f>
        <v>Fathima Hana</v>
      </c>
      <c r="D4" s="15" t="str">
        <f>=Dashboard!E30</f>
        <v>High</v>
      </c>
      <c r="E4" s="15" t="str">
        <f>=Dashboard!I30</f>
        <v>TASK-DB-005</v>
      </c>
      <c r="F4" s="15" t="str">
        <f>=Dashboard!F30</f>
        <v>Not Started</v>
      </c>
      <c r="G4" s="9" t="s">
        <v>169</v>
      </c>
      <c r="H4" s="9" t="s">
        <v>170</v>
      </c>
      <c r="I4" s="9" t="s">
        <v>139</v>
      </c>
      <c r="J4" s="9" t="s">
        <v>171</v>
      </c>
      <c r="K4" s="9" t="s">
        <v>96</v>
      </c>
      <c r="L4" s="15" t="s">
        <v>166</v>
      </c>
      <c r="M4" s="15" t="s">
        <v>73</v>
      </c>
      <c r="N4" s="9" t="str">
        <f>=Dashboard!Q30</f>
        <v>Support: Adithyan N. References user and complaint</v>
      </c>
    </row>
    <row r="5" spans="1:14" x14ac:dyDescent="0.25">
      <c r="A5" s="13" t="str">
        <f>=Dashboard!A44</f>
        <v>TASK-BE-004</v>
      </c>
      <c r="B5" s="6" t="str">
        <f>=Dashboard!C44</f>
        <v>Authentication APIs</v>
      </c>
      <c r="C5" s="6" t="str">
        <f>=Dashboard!D44</f>
        <v>Muhammad Sanish</v>
      </c>
      <c r="D5" s="13" t="str">
        <f>=Dashboard!E44</f>
        <v>Critical</v>
      </c>
      <c r="E5" s="13" t="str">
        <f>=Dashboard!I44</f>
        <v>TASK-BE-001</v>
      </c>
      <c r="F5" s="13" t="str">
        <f>=Dashboard!F44</f>
        <v>Not Started</v>
      </c>
      <c r="G5" s="6" t="s">
        <v>261</v>
      </c>
      <c r="H5" s="6" t="s">
        <v>262</v>
      </c>
      <c r="I5" s="6" t="s">
        <v>263</v>
      </c>
      <c r="J5" s="6" t="s">
        <v>264</v>
      </c>
      <c r="K5" s="6" t="s">
        <v>243</v>
      </c>
      <c r="L5" s="13" t="s">
        <v>166</v>
      </c>
      <c r="M5" s="13" t="s">
        <v>166</v>
      </c>
      <c r="N5" s="6" t="str">
        <f>=Dashboard!Q44</f>
        <v>Bcrypt salt rounds configured</v>
      </c>
    </row>
    <row r="6" spans="1:14" x14ac:dyDescent="0.25">
      <c r="A6" s="15" t="str">
        <f>=Dashboard!A45</f>
        <v>TASK-BE-005</v>
      </c>
      <c r="B6" s="9" t="str">
        <f>=Dashboard!C45</f>
        <v>JWT implementation</v>
      </c>
      <c r="C6" s="9" t="str">
        <f>=Dashboard!D45</f>
        <v>Muhammad Sanish</v>
      </c>
      <c r="D6" s="15" t="str">
        <f>=Dashboard!E45</f>
        <v>Critical</v>
      </c>
      <c r="E6" s="15" t="str">
        <f>=Dashboard!I45</f>
        <v>TASK-BE-004</v>
      </c>
      <c r="F6" s="15" t="str">
        <f>=Dashboard!F45</f>
        <v>Not Started</v>
      </c>
      <c r="G6" s="9" t="s">
        <v>268</v>
      </c>
      <c r="H6" s="9" t="s">
        <v>269</v>
      </c>
      <c r="I6" s="9" t="s">
        <v>270</v>
      </c>
      <c r="J6" s="9" t="s">
        <v>271</v>
      </c>
      <c r="K6" s="9" t="s">
        <v>243</v>
      </c>
      <c r="L6" s="15" t="s">
        <v>166</v>
      </c>
      <c r="M6" s="15" t="s">
        <v>166</v>
      </c>
      <c r="N6" s="9" t="str">
        <f>=Dashboard!Q45</f>
        <v>Token expires in 15 mins</v>
      </c>
    </row>
    <row r="7" spans="1:14" x14ac:dyDescent="0.25">
      <c r="A7" s="13" t="str">
        <f>=Dashboard!A46</f>
        <v>TASK-BE-006</v>
      </c>
      <c r="B7" s="6" t="str">
        <f>=Dashboard!C46</f>
        <v>Refresh token API</v>
      </c>
      <c r="C7" s="6" t="str">
        <f>=Dashboard!D46</f>
        <v>Muhammad Sanish</v>
      </c>
      <c r="D7" s="13" t="str">
        <f>=Dashboard!E46</f>
        <v>High</v>
      </c>
      <c r="E7" s="13" t="str">
        <f>=Dashboard!I46</f>
        <v>TASK-BE-005</v>
      </c>
      <c r="F7" s="13" t="str">
        <f>=Dashboard!F46</f>
        <v>Not Started</v>
      </c>
      <c r="G7" s="6" t="s">
        <v>275</v>
      </c>
      <c r="H7" s="6" t="s">
        <v>276</v>
      </c>
      <c r="I7" s="6" t="s">
        <v>277</v>
      </c>
      <c r="J7" s="6" t="s">
        <v>278</v>
      </c>
      <c r="K7" s="6" t="s">
        <v>243</v>
      </c>
      <c r="L7" s="13" t="s">
        <v>166</v>
      </c>
      <c r="M7" s="13" t="s">
        <v>166</v>
      </c>
      <c r="N7" s="6" t="str">
        <f>=Dashboard!Q46</f>
        <v>Secure cookie transport tags configuration</v>
      </c>
    </row>
    <row r="8" spans="1:14" x14ac:dyDescent="0.25">
      <c r="A8" s="15" t="str">
        <f>=Dashboard!A47</f>
        <v>TASK-BE-007</v>
      </c>
      <c r="B8" s="9" t="str">
        <f>=Dashboard!C47</f>
        <v>Logout API</v>
      </c>
      <c r="C8" s="9" t="str">
        <f>=Dashboard!D47</f>
        <v>Muhammad Sanish</v>
      </c>
      <c r="D8" s="15" t="str">
        <f>=Dashboard!E47</f>
        <v>Medium</v>
      </c>
      <c r="E8" s="15" t="str">
        <f>=Dashboard!I47</f>
        <v>TASK-BE-005</v>
      </c>
      <c r="F8" s="15" t="str">
        <f>=Dashboard!F47</f>
        <v>Not Started</v>
      </c>
      <c r="G8" s="9" t="s">
        <v>282</v>
      </c>
      <c r="H8" s="9" t="s">
        <v>283</v>
      </c>
      <c r="I8" s="9" t="s">
        <v>284</v>
      </c>
      <c r="J8" s="9" t="s">
        <v>285</v>
      </c>
      <c r="K8" s="9" t="s">
        <v>243</v>
      </c>
      <c r="L8" s="15" t="s">
        <v>166</v>
      </c>
      <c r="M8" s="15" t="s">
        <v>73</v>
      </c>
      <c r="N8" s="9" t="str">
        <f>=Dashboard!Q47</f>
        <v>Revokes active refresh session</v>
      </c>
    </row>
    <row r="9" spans="1:14" x14ac:dyDescent="0.25">
      <c r="A9" s="13" t="str">
        <f>=Dashboard!A52</f>
        <v>TASK-BE-012</v>
      </c>
      <c r="B9" s="6" t="str">
        <f>=Dashboard!C52</f>
        <v>Complaint APIs</v>
      </c>
      <c r="C9" s="6" t="str">
        <f>=Dashboard!D52</f>
        <v>Muhammad Sanish</v>
      </c>
      <c r="D9" s="13" t="str">
        <f>=Dashboard!E52</f>
        <v>High</v>
      </c>
      <c r="E9" s="13" t="str">
        <f>=Dashboard!I52</f>
        <v>TASK-BE-008</v>
      </c>
      <c r="F9" s="13" t="str">
        <f>=Dashboard!F52</f>
        <v>Not Started</v>
      </c>
      <c r="G9" s="6" t="s">
        <v>317</v>
      </c>
      <c r="H9" s="6" t="s">
        <v>318</v>
      </c>
      <c r="I9" s="6" t="s">
        <v>319</v>
      </c>
      <c r="J9" s="6" t="s">
        <v>320</v>
      </c>
      <c r="K9" s="6" t="s">
        <v>243</v>
      </c>
      <c r="L9" s="13" t="s">
        <v>166</v>
      </c>
      <c r="M9" s="13" t="s">
        <v>166</v>
      </c>
      <c r="N9" s="6" t="str">
        <f>=Dashboard!Q52</f>
        <v>Resource ownership validations active</v>
      </c>
    </row>
    <row r="10" spans="1:14" x14ac:dyDescent="0.25">
      <c r="A10" s="15" t="str">
        <f>=Dashboard!A69</f>
        <v>TASK-FE-009</v>
      </c>
      <c r="B10" s="9" t="str">
        <f>=Dashboard!C69</f>
        <v>Authentication pages</v>
      </c>
      <c r="C10" s="9" t="str">
        <f>=Dashboard!D69</f>
        <v>Adithyan N</v>
      </c>
      <c r="D10" s="15" t="str">
        <f>=Dashboard!E69</f>
        <v>High</v>
      </c>
      <c r="E10" s="15" t="str">
        <f>=Dashboard!I69</f>
        <v>TASK-FE-006</v>
      </c>
      <c r="F10" s="15" t="str">
        <f>=Dashboard!F69</f>
        <v>Not Started</v>
      </c>
      <c r="G10" s="9" t="s">
        <v>434</v>
      </c>
      <c r="H10" s="9" t="s">
        <v>435</v>
      </c>
      <c r="I10" s="9" t="s">
        <v>436</v>
      </c>
      <c r="J10" s="9" t="s">
        <v>437</v>
      </c>
      <c r="K10" s="9" t="s">
        <v>381</v>
      </c>
      <c r="L10" s="15" t="s">
        <v>166</v>
      </c>
      <c r="M10" s="15" t="s">
        <v>166</v>
      </c>
      <c r="N10" s="9" t="str">
        <f>=Dashboard!Q69</f>
        <v>Client side input validation rules active</v>
      </c>
    </row>
    <row r="11" spans="1:14" x14ac:dyDescent="0.25">
      <c r="A11" s="13" t="str">
        <f>=Dashboard!A70</f>
        <v>TASK-FE-010</v>
      </c>
      <c r="B11" s="6" t="str">
        <f>=Dashboard!C70</f>
        <v>Citizen Dashboard</v>
      </c>
      <c r="C11" s="6" t="str">
        <f>=Dashboard!D70</f>
        <v>Adithyan N</v>
      </c>
      <c r="D11" s="13" t="str">
        <f>=Dashboard!E70</f>
        <v>High</v>
      </c>
      <c r="E11" s="13" t="str">
        <f>=Dashboard!I70</f>
        <v>TASK-FE-006</v>
      </c>
      <c r="F11" s="13" t="str">
        <f>=Dashboard!F70</f>
        <v>Not Started</v>
      </c>
      <c r="G11" s="6" t="s">
        <v>441</v>
      </c>
      <c r="H11" s="6" t="s">
        <v>442</v>
      </c>
      <c r="I11" s="6" t="s">
        <v>443</v>
      </c>
      <c r="J11" s="6" t="s">
        <v>444</v>
      </c>
      <c r="K11" s="6" t="s">
        <v>381</v>
      </c>
      <c r="L11" s="13" t="s">
        <v>166</v>
      </c>
      <c r="M11" s="13" t="s">
        <v>73</v>
      </c>
      <c r="N11" s="6" t="str">
        <f>=Dashboard!Q70</f>
        <v>Overview dashboard for citizen portals</v>
      </c>
    </row>
    <row r="12" spans="1:14" x14ac:dyDescent="0.25">
      <c r="A12" s="15" t="str">
        <f>=Dashboard!A71</f>
        <v>TASK-FE-011</v>
      </c>
      <c r="B12" s="9" t="str">
        <f>=Dashboard!C71</f>
        <v>Complaint Management UI</v>
      </c>
      <c r="C12" s="9" t="str">
        <f>=Dashboard!D71</f>
        <v>Adithyan N</v>
      </c>
      <c r="D12" s="15" t="str">
        <f>=Dashboard!E71</f>
        <v>High</v>
      </c>
      <c r="E12" s="15" t="str">
        <f>=Dashboard!I71</f>
        <v>TASK-FE-010</v>
      </c>
      <c r="F12" s="15" t="str">
        <f>=Dashboard!F71</f>
        <v>Not Started</v>
      </c>
      <c r="G12" s="9" t="s">
        <v>448</v>
      </c>
      <c r="H12" s="9" t="s">
        <v>449</v>
      </c>
      <c r="I12" s="9" t="s">
        <v>450</v>
      </c>
      <c r="J12" s="9" t="s">
        <v>451</v>
      </c>
      <c r="K12" s="9" t="s">
        <v>381</v>
      </c>
      <c r="L12" s="15" t="s">
        <v>166</v>
      </c>
      <c r="M12" s="15" t="s">
        <v>166</v>
      </c>
      <c r="N12" s="9" t="str">
        <f>=Dashboard!Q71</f>
        <v>File type constraints validated</v>
      </c>
    </row>
    <row r="13" spans="1:14" x14ac:dyDescent="0.25">
      <c r="A13" s="13" t="str">
        <f>=Dashboard!A104</f>
        <v>TASK-QA-002</v>
      </c>
      <c r="B13" s="6" t="str">
        <f>=Dashboard!C104</f>
        <v>Test case creation</v>
      </c>
      <c r="C13" s="6" t="str">
        <f>=Dashboard!D104</f>
        <v>Minha Palakkathodi</v>
      </c>
      <c r="D13" s="13" t="str">
        <f>=Dashboard!E104</f>
        <v>High</v>
      </c>
      <c r="E13" s="13" t="str">
        <f>=Dashboard!I104</f>
        <v>TASK-QA-001</v>
      </c>
      <c r="F13" s="13" t="str">
        <f>=Dashboard!F104</f>
        <v>Not Started</v>
      </c>
      <c r="G13" s="6" t="s">
        <v>681</v>
      </c>
      <c r="H13" s="6" t="s">
        <v>682</v>
      </c>
      <c r="I13" s="6" t="s">
        <v>683</v>
      </c>
      <c r="J13" s="6" t="s">
        <v>684</v>
      </c>
      <c r="K13" s="6" t="s">
        <v>677</v>
      </c>
      <c r="L13" s="13" t="s">
        <v>73</v>
      </c>
      <c r="M13" s="13" t="s">
        <v>73</v>
      </c>
      <c r="N13" s="6" t="str">
        <f>=Dashboard!Q104</f>
        <v>Manual check sheets ready</v>
      </c>
    </row>
  </sheetData>
  <autoFilter ref="A2:N13"/>
  <mergeCells count="1">
    <mergeCell ref="A1:N1"/>
  </mergeCells>
  <conditionalFormatting sqref="F3:F13">
    <cfRule type="cellIs" dxfId="27" priority="1" operator="equal">
      <formula>"Completed"</formula>
    </cfRule>
    <cfRule type="cellIs" dxfId="28" priority="2" operator="equal">
      <formula>"In Progress"</formula>
    </cfRule>
    <cfRule type="cellIs" dxfId="29" priority="3" operator="equal">
      <formula>"Review"</formula>
    </cfRule>
    <cfRule type="cellIs" dxfId="30" priority="4" operator="equal">
      <formula>"Blocked"</formula>
    </cfRule>
    <cfRule type="cellIs" dxfId="31" priority="5" operator="equal">
      <formula>"Not Started"</formula>
    </cfRule>
  </conditionalFormatting>
  <conditionalFormatting sqref="D3:D13">
    <cfRule type="cellIs" dxfId="32" priority="6" operator="equal">
      <formula>"Critical"</formula>
    </cfRule>
    <cfRule type="cellIs" dxfId="33" priority="7" operator="equal">
      <formula>"High"</formula>
    </cfRule>
    <cfRule type="cellIs" dxfId="34" priority="8" operator="equal">
      <formula>"Medium"</formula>
    </cfRule>
    <cfRule type="cellIs" dxfId="35" priority="9" operator="equal">
      <formula>"Low"</formula>
    </cfRule>
  </conditionalFormatting>
  <dataValidations count="4">
    <dataValidation type="list" allowBlank="1" sqref="D10:D13">
      <formula1>"Critical,High,Medium,Low"</formula1>
    </dataValidation>
    <dataValidation type="list" allowBlank="1" sqref="D3:D13">
      <formula1>"Critical,High,Medium,Low"</formula1>
    </dataValidation>
    <dataValidation type="list" allowBlank="1" sqref="F10:F13">
      <formula1>"Not Started,In Progress,Review,Completed,Blocked"</formula1>
    </dataValidation>
    <dataValidation type="list" allowBlank="1" sqref="F3:F13">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752</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=Dashboard!A31</f>
        <v>TASK-DB-007</v>
      </c>
      <c r="B3" s="6" t="str">
        <f>=Dashboard!C31</f>
        <v>File tracking schema</v>
      </c>
      <c r="C3" s="6" t="str">
        <f>=Dashboard!D31</f>
        <v>Fathima Hana</v>
      </c>
      <c r="D3" s="13" t="str">
        <f>=Dashboard!E31</f>
        <v>Medium</v>
      </c>
      <c r="E3" s="13" t="str">
        <f>=Dashboard!I31</f>
        <v>TASK-DB-005</v>
      </c>
      <c r="F3" s="13" t="str">
        <f>=Dashboard!F31</f>
        <v>Not Started</v>
      </c>
      <c r="G3" s="6" t="s">
        <v>175</v>
      </c>
      <c r="H3" s="6" t="s">
        <v>176</v>
      </c>
      <c r="I3" s="6" t="s">
        <v>139</v>
      </c>
      <c r="J3" s="6" t="s">
        <v>177</v>
      </c>
      <c r="K3" s="6" t="s">
        <v>96</v>
      </c>
      <c r="L3" s="13" t="s">
        <v>166</v>
      </c>
      <c r="M3" s="13" t="s">
        <v>73</v>
      </c>
      <c r="N3" s="6" t="str">
        <f>=Dashboard!Q31</f>
        <v>Support: Adithyan N. Tracks history steps</v>
      </c>
    </row>
    <row r="4" spans="1:14" x14ac:dyDescent="0.25">
      <c r="A4" s="15" t="str">
        <f>=Dashboard!A32</f>
        <v>TASK-DB-008</v>
      </c>
      <c r="B4" s="9" t="str">
        <f>=Dashboard!C32</f>
        <v>Feedback schema</v>
      </c>
      <c r="C4" s="9" t="str">
        <f>=Dashboard!D32</f>
        <v>Fathima Hana</v>
      </c>
      <c r="D4" s="15" t="str">
        <f>=Dashboard!E32</f>
        <v>Medium</v>
      </c>
      <c r="E4" s="15" t="str">
        <f>=Dashboard!I32</f>
        <v>TASK-DB-005</v>
      </c>
      <c r="F4" s="15" t="str">
        <f>=Dashboard!F32</f>
        <v>Not Started</v>
      </c>
      <c r="G4" s="9" t="s">
        <v>181</v>
      </c>
      <c r="H4" s="9" t="s">
        <v>182</v>
      </c>
      <c r="I4" s="9" t="s">
        <v>139</v>
      </c>
      <c r="J4" s="9" t="s">
        <v>183</v>
      </c>
      <c r="K4" s="9" t="s">
        <v>96</v>
      </c>
      <c r="L4" s="15" t="s">
        <v>166</v>
      </c>
      <c r="M4" s="15" t="s">
        <v>73</v>
      </c>
      <c r="N4" s="9" t="str">
        <f>=Dashboard!Q32</f>
        <v>Support: Adithyan N. Constraints bounds checks</v>
      </c>
    </row>
    <row r="5" spans="1:14" x14ac:dyDescent="0.25">
      <c r="A5" s="13" t="str">
        <f>=Dashboard!A53</f>
        <v>TASK-BE-013</v>
      </c>
      <c r="B5" s="6" t="str">
        <f>=Dashboard!C53</f>
        <v>File Tracking APIs</v>
      </c>
      <c r="C5" s="6" t="str">
        <f>=Dashboard!D53</f>
        <v>Muhammad Sanish</v>
      </c>
      <c r="D5" s="13" t="str">
        <f>=Dashboard!E53</f>
        <v>Medium</v>
      </c>
      <c r="E5" s="13" t="str">
        <f>=Dashboard!I53</f>
        <v>TASK-BE-008</v>
      </c>
      <c r="F5" s="13" t="str">
        <f>=Dashboard!F53</f>
        <v>Not Started</v>
      </c>
      <c r="G5" s="6" t="s">
        <v>324</v>
      </c>
      <c r="H5" s="6" t="s">
        <v>325</v>
      </c>
      <c r="I5" s="6" t="s">
        <v>319</v>
      </c>
      <c r="J5" s="6" t="s">
        <v>326</v>
      </c>
      <c r="K5" s="6" t="s">
        <v>243</v>
      </c>
      <c r="L5" s="13" t="s">
        <v>166</v>
      </c>
      <c r="M5" s="13" t="s">
        <v>166</v>
      </c>
      <c r="N5" s="6" t="str">
        <f>=Dashboard!Q53</f>
        <v>Suppresses internal notes and logs on public view</v>
      </c>
    </row>
    <row r="6" spans="1:14" x14ac:dyDescent="0.25">
      <c r="A6" s="15" t="str">
        <f>=Dashboard!A54</f>
        <v>TASK-BE-014</v>
      </c>
      <c r="B6" s="9" t="str">
        <f>=Dashboard!C54</f>
        <v>Feedback APIs</v>
      </c>
      <c r="C6" s="9" t="str">
        <f>=Dashboard!D54</f>
        <v>Muhammad Sanish</v>
      </c>
      <c r="D6" s="15" t="str">
        <f>=Dashboard!E54</f>
        <v>Medium</v>
      </c>
      <c r="E6" s="15" t="str">
        <f>=Dashboard!I54</f>
        <v>TASK-BE-012</v>
      </c>
      <c r="F6" s="15" t="str">
        <f>=Dashboard!F54</f>
        <v>Not Started</v>
      </c>
      <c r="G6" s="9" t="s">
        <v>330</v>
      </c>
      <c r="H6" s="9" t="s">
        <v>331</v>
      </c>
      <c r="I6" s="9" t="s">
        <v>319</v>
      </c>
      <c r="J6" s="9" t="s">
        <v>332</v>
      </c>
      <c r="K6" s="9" t="s">
        <v>243</v>
      </c>
      <c r="L6" s="15" t="s">
        <v>166</v>
      </c>
      <c r="M6" s="15" t="s">
        <v>73</v>
      </c>
      <c r="N6" s="9" t="str">
        <f>=Dashboard!Q54</f>
        <v>Locks complaints database records on completion</v>
      </c>
    </row>
    <row r="7" spans="1:14" x14ac:dyDescent="0.25">
      <c r="A7" s="13" t="str">
        <f>=Dashboard!A72</f>
        <v>TASK-FE-012</v>
      </c>
      <c r="B7" s="6" t="str">
        <f>=Dashboard!C72</f>
        <v>File Tracking UI</v>
      </c>
      <c r="C7" s="6" t="str">
        <f>=Dashboard!D72</f>
        <v>Adithyan N</v>
      </c>
      <c r="D7" s="13" t="str">
        <f>=Dashboard!E72</f>
        <v>Medium</v>
      </c>
      <c r="E7" s="13" t="str">
        <f>=Dashboard!I72</f>
        <v>TASK-FE-008</v>
      </c>
      <c r="F7" s="13" t="str">
        <f>=Dashboard!F72</f>
        <v>Not Started</v>
      </c>
      <c r="G7" s="6" t="s">
        <v>455</v>
      </c>
      <c r="H7" s="6" t="s">
        <v>456</v>
      </c>
      <c r="I7" s="6" t="s">
        <v>457</v>
      </c>
      <c r="J7" s="6" t="s">
        <v>458</v>
      </c>
      <c r="K7" s="6" t="s">
        <v>381</v>
      </c>
      <c r="L7" s="13" t="s">
        <v>166</v>
      </c>
      <c r="M7" s="13" t="s">
        <v>73</v>
      </c>
      <c r="N7" s="6" t="str">
        <f>=Dashboard!Q72</f>
        <v>Visual timeline progress trackers</v>
      </c>
    </row>
    <row r="8" spans="1:14" x14ac:dyDescent="0.25">
      <c r="A8" s="15" t="str">
        <f>=Dashboard!A73</f>
        <v>TASK-FE-013</v>
      </c>
      <c r="B8" s="9" t="str">
        <f>=Dashboard!C73</f>
        <v>Feedback UI</v>
      </c>
      <c r="C8" s="9" t="str">
        <f>=Dashboard!D73</f>
        <v>Adithyan N</v>
      </c>
      <c r="D8" s="15" t="str">
        <f>=Dashboard!E73</f>
        <v>Medium</v>
      </c>
      <c r="E8" s="15" t="str">
        <f>=Dashboard!I73</f>
        <v>TASK-FE-011</v>
      </c>
      <c r="F8" s="15" t="str">
        <f>=Dashboard!F73</f>
        <v>Not Started</v>
      </c>
      <c r="G8" s="9" t="s">
        <v>462</v>
      </c>
      <c r="H8" s="9" t="s">
        <v>463</v>
      </c>
      <c r="I8" s="9" t="s">
        <v>464</v>
      </c>
      <c r="J8" s="9" t="s">
        <v>465</v>
      </c>
      <c r="K8" s="9" t="s">
        <v>381</v>
      </c>
      <c r="L8" s="15" t="s">
        <v>166</v>
      </c>
      <c r="M8" s="15" t="s">
        <v>73</v>
      </c>
      <c r="N8" s="9" t="str">
        <f>=Dashboard!Q73</f>
        <v>1-to-5 star feedback rating</v>
      </c>
    </row>
  </sheetData>
  <autoFilter ref="A2:N8"/>
  <mergeCells count="1">
    <mergeCell ref="A1:N1"/>
  </mergeCells>
  <conditionalFormatting sqref="F3:F8">
    <cfRule type="cellIs" dxfId="36" priority="1" operator="equal">
      <formula>"Completed"</formula>
    </cfRule>
    <cfRule type="cellIs" dxfId="37" priority="2" operator="equal">
      <formula>"In Progress"</formula>
    </cfRule>
    <cfRule type="cellIs" dxfId="38" priority="3" operator="equal">
      <formula>"Review"</formula>
    </cfRule>
    <cfRule type="cellIs" dxfId="39" priority="4" operator="equal">
      <formula>"Blocked"</formula>
    </cfRule>
    <cfRule type="cellIs" dxfId="40" priority="5" operator="equal">
      <formula>"Not Started"</formula>
    </cfRule>
  </conditionalFormatting>
  <conditionalFormatting sqref="D3:D8">
    <cfRule type="cellIs" dxfId="41" priority="6" operator="equal">
      <formula>"Critical"</formula>
    </cfRule>
    <cfRule type="cellIs" dxfId="42" priority="7" operator="equal">
      <formula>"High"</formula>
    </cfRule>
    <cfRule type="cellIs" dxfId="43" priority="8" operator="equal">
      <formula>"Medium"</formula>
    </cfRule>
    <cfRule type="cellIs" dxfId="44" priority="9" operator="equal">
      <formula>"Low"</formula>
    </cfRule>
  </conditionalFormatting>
  <dataValidations count="2">
    <dataValidation type="list" allowBlank="1" sqref="D3:D8">
      <formula1>"Critical,High,Medium,Low"</formula1>
    </dataValidation>
    <dataValidation type="list" allowBlank="1" sqref="F3:F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753</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=Dashboard!A33</f>
        <v>TASK-DB-009</v>
      </c>
      <c r="B3" s="6" t="str">
        <f>=Dashboard!C33</f>
        <v>Attendance schema</v>
      </c>
      <c r="C3" s="6" t="str">
        <f>=Dashboard!D33</f>
        <v>Fathima Hana</v>
      </c>
      <c r="D3" s="13" t="str">
        <f>=Dashboard!E33</f>
        <v>High</v>
      </c>
      <c r="E3" s="13" t="str">
        <f>=Dashboard!I33</f>
        <v>TASK-DB-001</v>
      </c>
      <c r="F3" s="13" t="str">
        <f>=Dashboard!F33</f>
        <v>Not Started</v>
      </c>
      <c r="G3" s="6" t="s">
        <v>187</v>
      </c>
      <c r="H3" s="6" t="s">
        <v>188</v>
      </c>
      <c r="I3" s="6" t="s">
        <v>139</v>
      </c>
      <c r="J3" s="6" t="s">
        <v>189</v>
      </c>
      <c r="K3" s="6" t="s">
        <v>96</v>
      </c>
      <c r="L3" s="13" t="s">
        <v>166</v>
      </c>
      <c r="M3" s="13" t="s">
        <v>166</v>
      </c>
      <c r="N3" s="6" t="str">
        <f>=Dashboard!Q33</f>
        <v>Support: Adithyan N. Biometric template matches parameters</v>
      </c>
    </row>
    <row r="4" spans="1:14" x14ac:dyDescent="0.25">
      <c r="A4" s="15" t="str">
        <f>=Dashboard!A36</f>
        <v>TASK-DB-012</v>
      </c>
      <c r="B4" s="9" t="str">
        <f>=Dashboard!C36</f>
        <v>Chatbot session schema</v>
      </c>
      <c r="C4" s="9" t="str">
        <f>=Dashboard!D36</f>
        <v>Fathima Hana</v>
      </c>
      <c r="D4" s="15" t="str">
        <f>=Dashboard!E36</f>
        <v>Medium</v>
      </c>
      <c r="E4" s="15" t="str">
        <f>=Dashboard!I36</f>
        <v>TASK-DB-001</v>
      </c>
      <c r="F4" s="15" t="str">
        <f>=Dashboard!F36</f>
        <v>Not Started</v>
      </c>
      <c r="G4" s="9" t="s">
        <v>205</v>
      </c>
      <c r="H4" s="9" t="s">
        <v>206</v>
      </c>
      <c r="I4" s="9" t="s">
        <v>139</v>
      </c>
      <c r="J4" s="9" t="s">
        <v>207</v>
      </c>
      <c r="K4" s="9" t="s">
        <v>96</v>
      </c>
      <c r="L4" s="15" t="s">
        <v>166</v>
      </c>
      <c r="M4" s="15" t="s">
        <v>73</v>
      </c>
      <c r="N4" s="9" t="str">
        <f>=Dashboard!Q36</f>
        <v>Support: Adithyan N. Session TTL setup</v>
      </c>
    </row>
    <row r="5" spans="1:14" x14ac:dyDescent="0.25">
      <c r="A5" s="13" t="str">
        <f>=Dashboard!A55</f>
        <v>TASK-BE-015</v>
      </c>
      <c r="B5" s="6" t="str">
        <f>=Dashboard!C55</f>
        <v>Attendance APIs</v>
      </c>
      <c r="C5" s="6" t="str">
        <f>=Dashboard!D55</f>
        <v>Muhammad Sanish</v>
      </c>
      <c r="D5" s="13" t="str">
        <f>=Dashboard!E55</f>
        <v>High</v>
      </c>
      <c r="E5" s="13" t="str">
        <f>=Dashboard!I55</f>
        <v>TASK-BE-008</v>
      </c>
      <c r="F5" s="13" t="str">
        <f>=Dashboard!F55</f>
        <v>Not Started</v>
      </c>
      <c r="G5" s="6" t="s">
        <v>336</v>
      </c>
      <c r="H5" s="6" t="s">
        <v>337</v>
      </c>
      <c r="I5" s="6" t="s">
        <v>319</v>
      </c>
      <c r="J5" s="6" t="s">
        <v>338</v>
      </c>
      <c r="K5" s="6" t="s">
        <v>243</v>
      </c>
      <c r="L5" s="13" t="s">
        <v>166</v>
      </c>
      <c r="M5" s="13" t="s">
        <v>166</v>
      </c>
      <c r="N5" s="6" t="str">
        <f>=Dashboard!Q55</f>
        <v>Validates consent status before scan logic</v>
      </c>
    </row>
    <row r="6" spans="1:14" x14ac:dyDescent="0.25">
      <c r="A6" s="15" t="str">
        <f>=Dashboard!A74</f>
        <v>TASK-FE-014</v>
      </c>
      <c r="B6" s="9" t="str">
        <f>=Dashboard!C74</f>
        <v>Staff Dashboard UI</v>
      </c>
      <c r="C6" s="9" t="str">
        <f>=Dashboard!D74</f>
        <v>Adithyan N</v>
      </c>
      <c r="D6" s="15" t="str">
        <f>=Dashboard!E74</f>
        <v>High</v>
      </c>
      <c r="E6" s="15" t="str">
        <f>=Dashboard!I74</f>
        <v>TASK-FE-006</v>
      </c>
      <c r="F6" s="15" t="str">
        <f>=Dashboard!F74</f>
        <v>Not Started</v>
      </c>
      <c r="G6" s="9" t="s">
        <v>469</v>
      </c>
      <c r="H6" s="9" t="s">
        <v>470</v>
      </c>
      <c r="I6" s="9" t="s">
        <v>471</v>
      </c>
      <c r="J6" s="9" t="s">
        <v>472</v>
      </c>
      <c r="K6" s="9" t="s">
        <v>381</v>
      </c>
      <c r="L6" s="15" t="s">
        <v>166</v>
      </c>
      <c r="M6" s="15" t="s">
        <v>166</v>
      </c>
      <c r="N6" s="9" t="str">
        <f>=Dashboard!Q74</f>
        <v>Workspace console for employees</v>
      </c>
    </row>
    <row r="7" spans="1:14" x14ac:dyDescent="0.25">
      <c r="A7" s="13" t="str">
        <f>=Dashboard!A75</f>
        <v>TASK-FE-015</v>
      </c>
      <c r="B7" s="6" t="str">
        <f>=Dashboard!C75</f>
        <v>Attendance UI</v>
      </c>
      <c r="C7" s="6" t="str">
        <f>=Dashboard!D75</f>
        <v>Adithyan N</v>
      </c>
      <c r="D7" s="13" t="str">
        <f>=Dashboard!E75</f>
        <v>High</v>
      </c>
      <c r="E7" s="13" t="str">
        <f>=Dashboard!I75</f>
        <v>TASK-FE-014</v>
      </c>
      <c r="F7" s="13" t="str">
        <f>=Dashboard!F75</f>
        <v>Not Started</v>
      </c>
      <c r="G7" s="6" t="s">
        <v>476</v>
      </c>
      <c r="H7" s="6" t="s">
        <v>477</v>
      </c>
      <c r="I7" s="6" t="s">
        <v>478</v>
      </c>
      <c r="J7" s="6" t="s">
        <v>479</v>
      </c>
      <c r="K7" s="6" t="s">
        <v>381</v>
      </c>
      <c r="L7" s="13" t="s">
        <v>166</v>
      </c>
      <c r="M7" s="13" t="s">
        <v>166</v>
      </c>
      <c r="N7" s="6" t="str">
        <f>=Dashboard!Q75</f>
        <v>Liveness prompt overlay layout</v>
      </c>
    </row>
    <row r="8" spans="1:14" x14ac:dyDescent="0.25">
      <c r="A8" s="15" t="str">
        <f>=Dashboard!A76</f>
        <v>TASK-FE-016</v>
      </c>
      <c r="B8" s="9" t="str">
        <f>=Dashboard!C76</f>
        <v>Chatbot UI</v>
      </c>
      <c r="C8" s="9" t="str">
        <f>=Dashboard!D76</f>
        <v>Adithyan N</v>
      </c>
      <c r="D8" s="15" t="str">
        <f>=Dashboard!E76</f>
        <v>Medium</v>
      </c>
      <c r="E8" s="15" t="str">
        <f>=Dashboard!I76</f>
        <v>TASK-FE-008</v>
      </c>
      <c r="F8" s="15" t="str">
        <f>=Dashboard!F76</f>
        <v>Not Started</v>
      </c>
      <c r="G8" s="9" t="s">
        <v>483</v>
      </c>
      <c r="H8" s="9" t="s">
        <v>484</v>
      </c>
      <c r="I8" s="9" t="s">
        <v>485</v>
      </c>
      <c r="J8" s="9" t="s">
        <v>486</v>
      </c>
      <c r="K8" s="9" t="s">
        <v>381</v>
      </c>
      <c r="L8" s="15" t="s">
        <v>166</v>
      </c>
      <c r="M8" s="15" t="s">
        <v>73</v>
      </c>
      <c r="N8" s="9" t="str">
        <f>=Dashboard!Q76</f>
        <v>Gemini assistant layout UI</v>
      </c>
    </row>
    <row r="9" spans="1:14" x14ac:dyDescent="0.25">
      <c r="A9" s="13" t="str">
        <f>=Dashboard!A85</f>
        <v>TASK-AI-001</v>
      </c>
      <c r="B9" s="6" t="str">
        <f>=Dashboard!C85</f>
        <v>Gemini integration</v>
      </c>
      <c r="C9" s="6" t="str">
        <f>=Dashboard!D85</f>
        <v>Muhammed Sadik KT</v>
      </c>
      <c r="D9" s="13" t="str">
        <f>=Dashboard!E85</f>
        <v>High</v>
      </c>
      <c r="E9" s="13" t="str">
        <f>=Dashboard!I85</f>
        <v>None</v>
      </c>
      <c r="F9" s="13" t="str">
        <f>=Dashboard!F85</f>
        <v>Not Started</v>
      </c>
      <c r="G9" s="6" t="s">
        <v>546</v>
      </c>
      <c r="H9" s="6" t="s">
        <v>547</v>
      </c>
      <c r="I9" s="6" t="s">
        <v>548</v>
      </c>
      <c r="J9" s="6" t="s">
        <v>549</v>
      </c>
      <c r="K9" s="6" t="s">
        <v>550</v>
      </c>
      <c r="L9" s="13" t="s">
        <v>166</v>
      </c>
      <c r="M9" s="13" t="s">
        <v>166</v>
      </c>
      <c r="N9" s="6" t="str">
        <f>=Dashboard!Q85</f>
        <v>RAG context grounding middleware</v>
      </c>
    </row>
    <row r="10" spans="1:14" x14ac:dyDescent="0.25">
      <c r="A10" s="15" t="str">
        <f>=Dashboard!A86</f>
        <v>TASK-AI-002</v>
      </c>
      <c r="B10" s="9" t="str">
        <f>=Dashboard!C86</f>
        <v>Prompt engineering</v>
      </c>
      <c r="C10" s="9" t="str">
        <f>=Dashboard!D86</f>
        <v>Muhammed Sadik KT</v>
      </c>
      <c r="D10" s="15" t="str">
        <f>=Dashboard!E86</f>
        <v>Medium</v>
      </c>
      <c r="E10" s="15" t="str">
        <f>=Dashboard!I86</f>
        <v>TASK-AI-001</v>
      </c>
      <c r="F10" s="15" t="str">
        <f>=Dashboard!F86</f>
        <v>Not Started</v>
      </c>
      <c r="G10" s="9" t="s">
        <v>554</v>
      </c>
      <c r="H10" s="9" t="s">
        <v>555</v>
      </c>
      <c r="I10" s="9" t="s">
        <v>556</v>
      </c>
      <c r="J10" s="9" t="s">
        <v>557</v>
      </c>
      <c r="K10" s="9" t="s">
        <v>550</v>
      </c>
      <c r="L10" s="15" t="s">
        <v>166</v>
      </c>
      <c r="M10" s="15" t="s">
        <v>73</v>
      </c>
      <c r="N10" s="9" t="str">
        <f>=Dashboard!Q86</f>
        <v>Strict grounding bounds</v>
      </c>
    </row>
    <row r="11" spans="1:14" x14ac:dyDescent="0.25">
      <c r="A11" s="13" t="str">
        <f>=Dashboard!A87</f>
        <v>TASK-AI-003</v>
      </c>
      <c r="B11" s="6" t="str">
        <f>=Dashboard!C87</f>
        <v>Chatbot API</v>
      </c>
      <c r="C11" s="6" t="str">
        <f>=Dashboard!D87</f>
        <v>Muhammed Sadik KT</v>
      </c>
      <c r="D11" s="13" t="str">
        <f>=Dashboard!E87</f>
        <v>High</v>
      </c>
      <c r="E11" s="13" t="str">
        <f>=Dashboard!I87</f>
        <v>TASK-AI-001</v>
      </c>
      <c r="F11" s="13" t="str">
        <f>=Dashboard!F87</f>
        <v>Not Started</v>
      </c>
      <c r="G11" s="6" t="s">
        <v>561</v>
      </c>
      <c r="H11" s="6" t="s">
        <v>562</v>
      </c>
      <c r="I11" s="6" t="s">
        <v>319</v>
      </c>
      <c r="J11" s="6" t="s">
        <v>563</v>
      </c>
      <c r="K11" s="6" t="s">
        <v>550</v>
      </c>
      <c r="L11" s="13" t="s">
        <v>166</v>
      </c>
      <c r="M11" s="13" t="s">
        <v>166</v>
      </c>
      <c r="N11" s="6" t="str">
        <f>=Dashboard!Q87</f>
        <v>Logs sessions to chatbot DB logs</v>
      </c>
    </row>
    <row r="12" spans="1:14" x14ac:dyDescent="0.25">
      <c r="A12" s="15" t="str">
        <f>=Dashboard!A90</f>
        <v>TASK-AI-006</v>
      </c>
      <c r="B12" s="9" t="str">
        <f>=Dashboard!C90</f>
        <v>Face recognition core</v>
      </c>
      <c r="C12" s="9" t="str">
        <f>=Dashboard!D90</f>
        <v>Muhammed Sadik KT</v>
      </c>
      <c r="D12" s="15" t="str">
        <f>=Dashboard!E90</f>
        <v>Critical</v>
      </c>
      <c r="E12" s="15" t="str">
        <f>=Dashboard!I90</f>
        <v>None</v>
      </c>
      <c r="F12" s="15" t="str">
        <f>=Dashboard!F90</f>
        <v>Not Started</v>
      </c>
      <c r="G12" s="9" t="s">
        <v>581</v>
      </c>
      <c r="H12" s="9" t="s">
        <v>582</v>
      </c>
      <c r="I12" s="9" t="s">
        <v>583</v>
      </c>
      <c r="J12" s="9" t="s">
        <v>584</v>
      </c>
      <c r="K12" s="9" t="s">
        <v>550</v>
      </c>
      <c r="L12" s="15" t="s">
        <v>166</v>
      </c>
      <c r="M12" s="15" t="s">
        <v>166</v>
      </c>
      <c r="N12" s="9" t="str">
        <f>=Dashboard!Q90</f>
        <v>Volatile memory calculations</v>
      </c>
    </row>
    <row r="13" spans="1:14" x14ac:dyDescent="0.25">
      <c r="A13" s="13" t="str">
        <f>=Dashboard!A91</f>
        <v>TASK-AI-007</v>
      </c>
      <c r="B13" s="6" t="str">
        <f>=Dashboard!C91</f>
        <v>Attendance recognition service</v>
      </c>
      <c r="C13" s="6" t="str">
        <f>=Dashboard!D91</f>
        <v>Muhammed Sadik KT</v>
      </c>
      <c r="D13" s="13" t="str">
        <f>=Dashboard!E91</f>
        <v>High</v>
      </c>
      <c r="E13" s="13" t="str">
        <f>=Dashboard!I91</f>
        <v>TASK-AI-006</v>
      </c>
      <c r="F13" s="13" t="str">
        <f>=Dashboard!F91</f>
        <v>Not Started</v>
      </c>
      <c r="G13" s="6" t="s">
        <v>588</v>
      </c>
      <c r="H13" s="6" t="s">
        <v>589</v>
      </c>
      <c r="I13" s="6" t="s">
        <v>590</v>
      </c>
      <c r="J13" s="6" t="s">
        <v>591</v>
      </c>
      <c r="K13" s="6" t="s">
        <v>550</v>
      </c>
      <c r="L13" s="13" t="s">
        <v>166</v>
      </c>
      <c r="M13" s="13" t="s">
        <v>166</v>
      </c>
      <c r="N13" s="6" t="str">
        <f>=Dashboard!Q91</f>
        <v>Liveness score validation criteria check</v>
      </c>
    </row>
    <row r="14" spans="1:14" x14ac:dyDescent="0.25">
      <c r="A14" s="15" t="str">
        <f>=Dashboard!A94</f>
        <v>TASK-FR-001</v>
      </c>
      <c r="B14" s="9" t="str">
        <f>=Dashboard!C94</f>
        <v>Dataset Collection</v>
      </c>
      <c r="C14" s="9" t="str">
        <f>=Dashboard!D94</f>
        <v>Fadi Ahmed</v>
      </c>
      <c r="D14" s="15" t="str">
        <f>=Dashboard!E94</f>
        <v>Medium</v>
      </c>
      <c r="E14" s="15" t="str">
        <f>=Dashboard!I94</f>
        <v>None</v>
      </c>
      <c r="F14" s="15" t="str">
        <f>=Dashboard!F94</f>
        <v>Not Started</v>
      </c>
      <c r="G14" s="9" t="s">
        <v>609</v>
      </c>
      <c r="H14" s="9" t="s">
        <v>610</v>
      </c>
      <c r="I14" s="9" t="s">
        <v>611</v>
      </c>
      <c r="J14" s="9" t="s">
        <v>612</v>
      </c>
      <c r="K14" s="9" t="s">
        <v>550</v>
      </c>
      <c r="L14" s="15" t="s">
        <v>166</v>
      </c>
      <c r="M14" s="15" t="s">
        <v>166</v>
      </c>
      <c r="N14" s="9" t="str">
        <f>=Dashboard!Q94</f>
        <v>No images checked in repository</v>
      </c>
    </row>
    <row r="15" spans="1:14" x14ac:dyDescent="0.25">
      <c r="A15" s="13" t="str">
        <f>=Dashboard!A95</f>
        <v>TASK-FR-002</v>
      </c>
      <c r="B15" s="6" t="str">
        <f>=Dashboard!C95</f>
        <v>Prototype Refinement</v>
      </c>
      <c r="C15" s="6" t="str">
        <f>=Dashboard!D95</f>
        <v>Fadi Ahmed</v>
      </c>
      <c r="D15" s="13" t="str">
        <f>=Dashboard!E95</f>
        <v>High</v>
      </c>
      <c r="E15" s="13" t="str">
        <f>=Dashboard!I95</f>
        <v>TASK-AI-006</v>
      </c>
      <c r="F15" s="13" t="str">
        <f>=Dashboard!F95</f>
        <v>Not Started</v>
      </c>
      <c r="G15" s="6" t="s">
        <v>616</v>
      </c>
      <c r="H15" s="6" t="s">
        <v>617</v>
      </c>
      <c r="I15" s="6" t="s">
        <v>618</v>
      </c>
      <c r="J15" s="6" t="s">
        <v>619</v>
      </c>
      <c r="K15" s="6" t="s">
        <v>550</v>
      </c>
      <c r="L15" s="13" t="s">
        <v>166</v>
      </c>
      <c r="M15" s="13" t="s">
        <v>166</v>
      </c>
      <c r="N15" s="6" t="str">
        <f>=Dashboard!Q95</f>
        <v>Anti-spoofing tests calibration</v>
      </c>
    </row>
    <row r="16" spans="1:14" x14ac:dyDescent="0.25">
      <c r="A16" s="15" t="str">
        <f>=Dashboard!A96</f>
        <v>TASK-FR-003</v>
      </c>
      <c r="B16" s="9" t="str">
        <f>=Dashboard!C96</f>
        <v>Camera Integration Testing</v>
      </c>
      <c r="C16" s="9" t="str">
        <f>=Dashboard!D96</f>
        <v>Fadi Ahmed</v>
      </c>
      <c r="D16" s="15" t="str">
        <f>=Dashboard!E96</f>
        <v>Medium</v>
      </c>
      <c r="E16" s="15" t="str">
        <f>=Dashboard!I96</f>
        <v>None</v>
      </c>
      <c r="F16" s="15" t="str">
        <f>=Dashboard!F96</f>
        <v>Not Started</v>
      </c>
      <c r="G16" s="9" t="s">
        <v>623</v>
      </c>
      <c r="H16" s="9" t="s">
        <v>624</v>
      </c>
      <c r="I16" s="9" t="s">
        <v>625</v>
      </c>
      <c r="J16" s="9" t="s">
        <v>626</v>
      </c>
      <c r="K16" s="9" t="s">
        <v>550</v>
      </c>
      <c r="L16" s="15" t="s">
        <v>166</v>
      </c>
      <c r="M16" s="15" t="s">
        <v>166</v>
      </c>
      <c r="N16" s="9" t="str">
        <f>=Dashboard!Q96</f>
        <v>Confirm permissions logic</v>
      </c>
    </row>
    <row r="17" spans="1:14" x14ac:dyDescent="0.25">
      <c r="A17" s="13" t="str">
        <f>=Dashboard!A100</f>
        <v>TASK-FR-007</v>
      </c>
      <c r="B17" s="6" t="str">
        <f>=Dashboard!C100</f>
        <v>Scanner UI Review</v>
      </c>
      <c r="C17" s="6" t="str">
        <f>=Dashboard!D100</f>
        <v>Fadi Ahmed</v>
      </c>
      <c r="D17" s="13" t="str">
        <f>=Dashboard!E100</f>
        <v>Medium</v>
      </c>
      <c r="E17" s="13" t="str">
        <f>=Dashboard!I100</f>
        <v>None</v>
      </c>
      <c r="F17" s="13" t="str">
        <f>=Dashboard!F100</f>
        <v>Not Started</v>
      </c>
      <c r="G17" s="6" t="s">
        <v>651</v>
      </c>
      <c r="H17" s="6" t="s">
        <v>652</v>
      </c>
      <c r="I17" s="6" t="s">
        <v>653</v>
      </c>
      <c r="J17" s="6" t="s">
        <v>654</v>
      </c>
      <c r="K17" s="6" t="s">
        <v>381</v>
      </c>
      <c r="L17" s="13" t="s">
        <v>166</v>
      </c>
      <c r="M17" s="13" t="s">
        <v>73</v>
      </c>
      <c r="N17" s="6" t="str">
        <f>=Dashboard!Q100</f>
        <v>UI responsiveness check</v>
      </c>
    </row>
    <row r="18" spans="1:14" x14ac:dyDescent="0.25">
      <c r="A18" s="15" t="str">
        <f>=Dashboard!A102</f>
        <v>TASK-FR-009</v>
      </c>
      <c r="B18" s="9" t="str">
        <f>=Dashboard!C102</f>
        <v>Camera Permission Testing</v>
      </c>
      <c r="C18" s="9" t="str">
        <f>=Dashboard!D102</f>
        <v>Fadi Ahmed</v>
      </c>
      <c r="D18" s="15" t="str">
        <f>=Dashboard!E102</f>
        <v>Medium</v>
      </c>
      <c r="E18" s="15" t="str">
        <f>=Dashboard!I102</f>
        <v>TASK-FR-003</v>
      </c>
      <c r="F18" s="15" t="str">
        <f>=Dashboard!F102</f>
        <v>Not Started</v>
      </c>
      <c r="G18" s="9" t="s">
        <v>665</v>
      </c>
      <c r="H18" s="9" t="s">
        <v>666</v>
      </c>
      <c r="I18" s="9" t="s">
        <v>667</v>
      </c>
      <c r="J18" s="9" t="s">
        <v>668</v>
      </c>
      <c r="K18" s="9" t="s">
        <v>669</v>
      </c>
      <c r="L18" s="15" t="s">
        <v>166</v>
      </c>
      <c r="M18" s="15" t="s">
        <v>166</v>
      </c>
      <c r="N18" s="9" t="str">
        <f>=Dashboard!Q102</f>
        <v>Checks fallback options</v>
      </c>
    </row>
  </sheetData>
  <autoFilter ref="A2:N18"/>
  <mergeCells count="1">
    <mergeCell ref="A1:N1"/>
  </mergeCells>
  <conditionalFormatting sqref="F3:F18">
    <cfRule type="cellIs" dxfId="45" priority="1" operator="equal">
      <formula>"Completed"</formula>
    </cfRule>
    <cfRule type="cellIs" dxfId="46" priority="2" operator="equal">
      <formula>"In Progress"</formula>
    </cfRule>
    <cfRule type="cellIs" dxfId="47" priority="3" operator="equal">
      <formula>"Review"</formula>
    </cfRule>
    <cfRule type="cellIs" dxfId="48" priority="4" operator="equal">
      <formula>"Blocked"</formula>
    </cfRule>
    <cfRule type="cellIs" dxfId="49" priority="5" operator="equal">
      <formula>"Not Started"</formula>
    </cfRule>
  </conditionalFormatting>
  <conditionalFormatting sqref="D3:D18">
    <cfRule type="cellIs" dxfId="50" priority="6" operator="equal">
      <formula>"Critical"</formula>
    </cfRule>
    <cfRule type="cellIs" dxfId="51" priority="7" operator="equal">
      <formula>"High"</formula>
    </cfRule>
    <cfRule type="cellIs" dxfId="52" priority="8" operator="equal">
      <formula>"Medium"</formula>
    </cfRule>
    <cfRule type="cellIs" dxfId="53" priority="9" operator="equal">
      <formula>"Low"</formula>
    </cfRule>
  </conditionalFormatting>
  <dataValidations count="4">
    <dataValidation type="list" allowBlank="1" sqref="D10:D18">
      <formula1>"Critical,High,Medium,Low"</formula1>
    </dataValidation>
    <dataValidation type="list" allowBlank="1" sqref="D3:D18">
      <formula1>"Critical,High,Medium,Low"</formula1>
    </dataValidation>
    <dataValidation type="list" allowBlank="1" sqref="F10:F18">
      <formula1>"Not Started,In Progress,Review,Completed,Blocked"</formula1>
    </dataValidation>
    <dataValidation type="list" allowBlank="1" sqref="F3:F1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754</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=Dashboard!A34</f>
        <v>TASK-DB-010</v>
      </c>
      <c r="B3" s="6" t="str">
        <f>=Dashboard!C34</f>
        <v>Notification schema</v>
      </c>
      <c r="C3" s="6" t="str">
        <f>=Dashboard!D34</f>
        <v>Fathima Hana</v>
      </c>
      <c r="D3" s="13" t="str">
        <f>=Dashboard!E34</f>
        <v>Medium</v>
      </c>
      <c r="E3" s="13" t="str">
        <f>=Dashboard!I34</f>
        <v>TASK-DB-001</v>
      </c>
      <c r="F3" s="13" t="str">
        <f>=Dashboard!F34</f>
        <v>Not Started</v>
      </c>
      <c r="G3" s="6" t="s">
        <v>193</v>
      </c>
      <c r="H3" s="6" t="s">
        <v>194</v>
      </c>
      <c r="I3" s="6" t="s">
        <v>139</v>
      </c>
      <c r="J3" s="6" t="s">
        <v>195</v>
      </c>
      <c r="K3" s="6" t="s">
        <v>96</v>
      </c>
      <c r="L3" s="13" t="s">
        <v>166</v>
      </c>
      <c r="M3" s="13" t="s">
        <v>73</v>
      </c>
      <c r="N3" s="6" t="str">
        <f>=Dashboard!Q34</f>
        <v>Support: Adithyan N. Unread indicators</v>
      </c>
    </row>
    <row r="4" spans="1:14" x14ac:dyDescent="0.25">
      <c r="A4" s="15" t="str">
        <f>=Dashboard!A35</f>
        <v>TASK-DB-011</v>
      </c>
      <c r="B4" s="9" t="str">
        <f>=Dashboard!C35</f>
        <v>Audit log schema</v>
      </c>
      <c r="C4" s="9" t="str">
        <f>=Dashboard!D35</f>
        <v>Fathima Hana</v>
      </c>
      <c r="D4" s="15" t="str">
        <f>=Dashboard!E35</f>
        <v>High</v>
      </c>
      <c r="E4" s="15" t="str">
        <f>=Dashboard!I35</f>
        <v>TASK-DB-001</v>
      </c>
      <c r="F4" s="15" t="str">
        <f>=Dashboard!F35</f>
        <v>Not Started</v>
      </c>
      <c r="G4" s="9" t="s">
        <v>199</v>
      </c>
      <c r="H4" s="9" t="s">
        <v>200</v>
      </c>
      <c r="I4" s="9" t="s">
        <v>139</v>
      </c>
      <c r="J4" s="9" t="s">
        <v>201</v>
      </c>
      <c r="K4" s="9" t="s">
        <v>96</v>
      </c>
      <c r="L4" s="15" t="s">
        <v>166</v>
      </c>
      <c r="M4" s="15" t="s">
        <v>166</v>
      </c>
      <c r="N4" s="9" t="str">
        <f>=Dashboard!Q35</f>
        <v>Support: Adithyan N. Strict immutability controls</v>
      </c>
    </row>
    <row r="5" spans="1:14" x14ac:dyDescent="0.25">
      <c r="A5" s="13" t="str">
        <f>=Dashboard!A49</f>
        <v>TASK-BE-009</v>
      </c>
      <c r="B5" s="6" t="str">
        <f>=Dashboard!C49</f>
        <v>Audit logging</v>
      </c>
      <c r="C5" s="6" t="str">
        <f>=Dashboard!D49</f>
        <v>Muhammad Sanish</v>
      </c>
      <c r="D5" s="13" t="str">
        <f>=Dashboard!E49</f>
        <v>High</v>
      </c>
      <c r="E5" s="13" t="str">
        <f>=Dashboard!I49</f>
        <v>TASK-BE-002</v>
      </c>
      <c r="F5" s="13" t="str">
        <f>=Dashboard!F49</f>
        <v>Not Started</v>
      </c>
      <c r="G5" s="6" t="s">
        <v>296</v>
      </c>
      <c r="H5" s="6" t="s">
        <v>297</v>
      </c>
      <c r="I5" s="6" t="s">
        <v>298</v>
      </c>
      <c r="J5" s="6" t="s">
        <v>299</v>
      </c>
      <c r="K5" s="6" t="s">
        <v>243</v>
      </c>
      <c r="L5" s="13" t="s">
        <v>166</v>
      </c>
      <c r="M5" s="13" t="s">
        <v>166</v>
      </c>
      <c r="N5" s="6" t="str">
        <f>=Dashboard!Q49</f>
        <v>Writes directly to audit_logs collection</v>
      </c>
    </row>
    <row r="6" spans="1:14" x14ac:dyDescent="0.25">
      <c r="A6" s="15" t="str">
        <f>=Dashboard!A56</f>
        <v>TASK-BE-016</v>
      </c>
      <c r="B6" s="9" t="str">
        <f>=Dashboard!C56</f>
        <v>Admin APIs</v>
      </c>
      <c r="C6" s="9" t="str">
        <f>=Dashboard!D56</f>
        <v>Muhammad Sanish</v>
      </c>
      <c r="D6" s="15" t="str">
        <f>=Dashboard!E56</f>
        <v>High</v>
      </c>
      <c r="E6" s="15" t="str">
        <f>=Dashboard!I56</f>
        <v>TASK-BE-008</v>
      </c>
      <c r="F6" s="15" t="str">
        <f>=Dashboard!F56</f>
        <v>Not Started</v>
      </c>
      <c r="G6" s="9" t="s">
        <v>342</v>
      </c>
      <c r="H6" s="9" t="s">
        <v>343</v>
      </c>
      <c r="I6" s="9" t="s">
        <v>344</v>
      </c>
      <c r="J6" s="9" t="s">
        <v>345</v>
      </c>
      <c r="K6" s="9" t="s">
        <v>243</v>
      </c>
      <c r="L6" s="15" t="s">
        <v>166</v>
      </c>
      <c r="M6" s="15" t="s">
        <v>166</v>
      </c>
      <c r="N6" s="9" t="str">
        <f>=Dashboard!Q56</f>
        <v>Enforces strict Admin role checks</v>
      </c>
    </row>
    <row r="7" spans="1:14" x14ac:dyDescent="0.25">
      <c r="A7" s="13" t="str">
        <f>=Dashboard!A57</f>
        <v>TASK-BE-017</v>
      </c>
      <c r="B7" s="6" t="str">
        <f>=Dashboard!C57</f>
        <v>Notification APIs</v>
      </c>
      <c r="C7" s="6" t="str">
        <f>=Dashboard!D57</f>
        <v>Muhammad Sanish</v>
      </c>
      <c r="D7" s="13" t="str">
        <f>=Dashboard!E57</f>
        <v>Medium</v>
      </c>
      <c r="E7" s="13" t="str">
        <f>=Dashboard!I57</f>
        <v>TASK-BE-001</v>
      </c>
      <c r="F7" s="13" t="str">
        <f>=Dashboard!F57</f>
        <v>Not Started</v>
      </c>
      <c r="G7" s="6" t="s">
        <v>349</v>
      </c>
      <c r="H7" s="6" t="s">
        <v>350</v>
      </c>
      <c r="I7" s="6" t="s">
        <v>319</v>
      </c>
      <c r="J7" s="6" t="s">
        <v>351</v>
      </c>
      <c r="K7" s="6" t="s">
        <v>243</v>
      </c>
      <c r="L7" s="13" t="s">
        <v>166</v>
      </c>
      <c r="M7" s="13" t="s">
        <v>73</v>
      </c>
      <c r="N7" s="6" t="str">
        <f>=Dashboard!Q57</f>
        <v>System alert logs generation</v>
      </c>
    </row>
    <row r="8" spans="1:14" x14ac:dyDescent="0.25">
      <c r="A8" s="15" t="str">
        <f>=Dashboard!A60</f>
        <v>TASK-BE-020</v>
      </c>
      <c r="B8" s="9" t="str">
        <f>=Dashboard!C60</f>
        <v>API documentation</v>
      </c>
      <c r="C8" s="9" t="str">
        <f>=Dashboard!D60</f>
        <v>Muhammad Sanish</v>
      </c>
      <c r="D8" s="15" t="str">
        <f>=Dashboard!E60</f>
        <v>Medium</v>
      </c>
      <c r="E8" s="15" t="str">
        <f>=Dashboard!I60</f>
        <v>TASK-BE-001</v>
      </c>
      <c r="F8" s="15" t="str">
        <f>=Dashboard!F60</f>
        <v>Not Started</v>
      </c>
      <c r="G8" s="9" t="s">
        <v>370</v>
      </c>
      <c r="H8" s="9" t="s">
        <v>371</v>
      </c>
      <c r="I8" s="9" t="s">
        <v>372</v>
      </c>
      <c r="J8" s="9" t="s">
        <v>373</v>
      </c>
      <c r="K8" s="9" t="s">
        <v>243</v>
      </c>
      <c r="L8" s="15" t="s">
        <v>166</v>
      </c>
      <c r="M8" s="15" t="s">
        <v>73</v>
      </c>
      <c r="N8" s="9" t="str">
        <f>=Dashboard!Q60</f>
        <v>Complete document of schema request bodies</v>
      </c>
    </row>
    <row r="9" spans="1:14" x14ac:dyDescent="0.25">
      <c r="A9" s="13" t="str">
        <f>=Dashboard!A77</f>
        <v>TASK-FE-017</v>
      </c>
      <c r="B9" s="6" t="str">
        <f>=Dashboard!C77</f>
        <v>Admin Dashboard UI</v>
      </c>
      <c r="C9" s="6" t="str">
        <f>=Dashboard!D77</f>
        <v>Adithyan N</v>
      </c>
      <c r="D9" s="13" t="str">
        <f>=Dashboard!E77</f>
        <v>High</v>
      </c>
      <c r="E9" s="13" t="str">
        <f>=Dashboard!I77</f>
        <v>TASK-FE-006</v>
      </c>
      <c r="F9" s="13" t="str">
        <f>=Dashboard!F77</f>
        <v>Not Started</v>
      </c>
      <c r="G9" s="6" t="s">
        <v>490</v>
      </c>
      <c r="H9" s="6" t="s">
        <v>491</v>
      </c>
      <c r="I9" s="6" t="s">
        <v>492</v>
      </c>
      <c r="J9" s="6" t="s">
        <v>493</v>
      </c>
      <c r="K9" s="6" t="s">
        <v>381</v>
      </c>
      <c r="L9" s="13" t="s">
        <v>166</v>
      </c>
      <c r="M9" s="13" t="s">
        <v>166</v>
      </c>
      <c r="N9" s="6" t="str">
        <f>=Dashboard!Q77</f>
        <v>SLA thresholds controller views</v>
      </c>
    </row>
    <row r="10" spans="1:14" x14ac:dyDescent="0.25">
      <c r="A10" s="15" t="str">
        <f>=Dashboard!A78</f>
        <v>TASK-FE-018</v>
      </c>
      <c r="B10" s="9" t="str">
        <f>=Dashboard!C78</f>
        <v>Notifications UI</v>
      </c>
      <c r="C10" s="9" t="str">
        <f>=Dashboard!D78</f>
        <v>Adithyan N</v>
      </c>
      <c r="D10" s="15" t="str">
        <f>=Dashboard!E78</f>
        <v>Medium</v>
      </c>
      <c r="E10" s="15" t="str">
        <f>=Dashboard!I78</f>
        <v>TASK-FE-008</v>
      </c>
      <c r="F10" s="15" t="str">
        <f>=Dashboard!F78</f>
        <v>Not Started</v>
      </c>
      <c r="G10" s="9" t="s">
        <v>497</v>
      </c>
      <c r="H10" s="9" t="s">
        <v>498</v>
      </c>
      <c r="I10" s="9" t="s">
        <v>499</v>
      </c>
      <c r="J10" s="9" t="s">
        <v>500</v>
      </c>
      <c r="K10" s="9" t="s">
        <v>381</v>
      </c>
      <c r="L10" s="15" t="s">
        <v>166</v>
      </c>
      <c r="M10" s="15" t="s">
        <v>73</v>
      </c>
      <c r="N10" s="9" t="str">
        <f>=Dashboard!Q78</f>
        <v>Toast popups integrations</v>
      </c>
    </row>
    <row r="11" spans="1:14" x14ac:dyDescent="0.25">
      <c r="A11" s="13" t="str">
        <f>=Dashboard!A81</f>
        <v>TASK-FE-021</v>
      </c>
      <c r="B11" s="6" t="str">
        <f>=Dashboard!C81</f>
        <v>Frontend API integration</v>
      </c>
      <c r="C11" s="6" t="str">
        <f>=Dashboard!D81</f>
        <v>Adithyan N</v>
      </c>
      <c r="D11" s="13" t="str">
        <f>=Dashboard!E81</f>
        <v>High</v>
      </c>
      <c r="E11" s="13" t="str">
        <f>=Dashboard!I81</f>
        <v>TASK-FE-008</v>
      </c>
      <c r="F11" s="13" t="str">
        <f>=Dashboard!F81</f>
        <v>Not Started</v>
      </c>
      <c r="G11" s="6" t="s">
        <v>518</v>
      </c>
      <c r="H11" s="6" t="s">
        <v>519</v>
      </c>
      <c r="I11" s="6" t="s">
        <v>520</v>
      </c>
      <c r="J11" s="6" t="s">
        <v>521</v>
      </c>
      <c r="K11" s="6" t="s">
        <v>381</v>
      </c>
      <c r="L11" s="13" t="s">
        <v>166</v>
      </c>
      <c r="M11" s="13" t="s">
        <v>166</v>
      </c>
      <c r="N11" s="6" t="str">
        <f>=Dashboard!Q81</f>
        <v>Integration mapping verified</v>
      </c>
    </row>
    <row r="12" spans="1:14" x14ac:dyDescent="0.25">
      <c r="A12" s="15" t="str">
        <f>=Dashboard!A88</f>
        <v>TASK-AI-004</v>
      </c>
      <c r="B12" s="9" t="str">
        <f>=Dashboard!C88</f>
        <v>OCR service</v>
      </c>
      <c r="C12" s="9" t="str">
        <f>=Dashboard!D88</f>
        <v>Muhammed Sadik KT</v>
      </c>
      <c r="D12" s="15" t="str">
        <f>=Dashboard!E88</f>
        <v>Medium</v>
      </c>
      <c r="E12" s="15" t="str">
        <f>=Dashboard!I88</f>
        <v>None</v>
      </c>
      <c r="F12" s="15" t="str">
        <f>=Dashboard!F88</f>
        <v>Not Started</v>
      </c>
      <c r="G12" s="9" t="s">
        <v>567</v>
      </c>
      <c r="H12" s="9" t="s">
        <v>568</v>
      </c>
      <c r="I12" s="9" t="s">
        <v>569</v>
      </c>
      <c r="J12" s="9" t="s">
        <v>570</v>
      </c>
      <c r="K12" s="9" t="s">
        <v>550</v>
      </c>
      <c r="L12" s="15" t="s">
        <v>166</v>
      </c>
      <c r="M12" s="15" t="s">
        <v>166</v>
      </c>
      <c r="N12" s="9" t="str">
        <f>=Dashboard!Q88</f>
        <v>Sandbox process execution setup</v>
      </c>
    </row>
    <row r="13" spans="1:14" x14ac:dyDescent="0.25">
      <c r="A13" s="13" t="str">
        <f>=Dashboard!A89</f>
        <v>TASK-AI-005</v>
      </c>
      <c r="B13" s="6" t="str">
        <f>=Dashboard!C89</f>
        <v>OCR validation</v>
      </c>
      <c r="C13" s="6" t="str">
        <f>=Dashboard!D89</f>
        <v>Muhammed Sadik KT</v>
      </c>
      <c r="D13" s="13" t="str">
        <f>=Dashboard!E89</f>
        <v>Medium</v>
      </c>
      <c r="E13" s="13" t="str">
        <f>=Dashboard!I89</f>
        <v>TASK-AI-004</v>
      </c>
      <c r="F13" s="13" t="str">
        <f>=Dashboard!F89</f>
        <v>Not Started</v>
      </c>
      <c r="G13" s="6" t="s">
        <v>574</v>
      </c>
      <c r="H13" s="6" t="s">
        <v>575</v>
      </c>
      <c r="I13" s="6" t="s">
        <v>576</v>
      </c>
      <c r="J13" s="6" t="s">
        <v>577</v>
      </c>
      <c r="K13" s="6" t="s">
        <v>550</v>
      </c>
      <c r="L13" s="13" t="s">
        <v>166</v>
      </c>
      <c r="M13" s="13" t="s">
        <v>166</v>
      </c>
      <c r="N13" s="6" t="str">
        <f>=Dashboard!Q89</f>
        <v>Verify metadata matching limits</v>
      </c>
    </row>
    <row r="14" spans="1:14" x14ac:dyDescent="0.25">
      <c r="A14" s="15" t="str">
        <f>=Dashboard!A92</f>
        <v>TASK-AI-008</v>
      </c>
      <c r="B14" s="9" t="str">
        <f>=Dashboard!C92</f>
        <v>AI testing</v>
      </c>
      <c r="C14" s="9" t="str">
        <f>=Dashboard!D92</f>
        <v>Muhammed Sadik KT</v>
      </c>
      <c r="D14" s="15" t="str">
        <f>=Dashboard!E92</f>
        <v>Medium</v>
      </c>
      <c r="E14" s="15" t="str">
        <f>=Dashboard!I92</f>
        <v>TASK-AI-007</v>
      </c>
      <c r="F14" s="15" t="str">
        <f>=Dashboard!F92</f>
        <v>Not Started</v>
      </c>
      <c r="G14" s="9" t="s">
        <v>595</v>
      </c>
      <c r="H14" s="9" t="s">
        <v>596</v>
      </c>
      <c r="I14" s="9" t="s">
        <v>597</v>
      </c>
      <c r="J14" s="9" t="s">
        <v>598</v>
      </c>
      <c r="K14" s="9" t="s">
        <v>550</v>
      </c>
      <c r="L14" s="15" t="s">
        <v>166</v>
      </c>
      <c r="M14" s="15" t="s">
        <v>166</v>
      </c>
      <c r="N14" s="9" t="str">
        <f>=Dashboard!Q92</f>
        <v>Checks accuracy scales</v>
      </c>
    </row>
    <row r="15" spans="1:14" x14ac:dyDescent="0.25">
      <c r="A15" s="13" t="str">
        <f>=Dashboard!A93</f>
        <v>TASK-AI-009</v>
      </c>
      <c r="B15" s="6" t="str">
        <f>=Dashboard!C93</f>
        <v>Response optimization</v>
      </c>
      <c r="C15" s="6" t="str">
        <f>=Dashboard!D93</f>
        <v>Muhammed Sadik KT</v>
      </c>
      <c r="D15" s="13" t="str">
        <f>=Dashboard!E93</f>
        <v>Medium</v>
      </c>
      <c r="E15" s="13" t="str">
        <f>=Dashboard!I93</f>
        <v>TASK-AI-002</v>
      </c>
      <c r="F15" s="13" t="str">
        <f>=Dashboard!F93</f>
        <v>Not Started</v>
      </c>
      <c r="G15" s="6" t="s">
        <v>602</v>
      </c>
      <c r="H15" s="6" t="s">
        <v>603</v>
      </c>
      <c r="I15" s="6" t="s">
        <v>604</v>
      </c>
      <c r="J15" s="6" t="s">
        <v>605</v>
      </c>
      <c r="K15" s="6" t="s">
        <v>550</v>
      </c>
      <c r="L15" s="13" t="s">
        <v>166</v>
      </c>
      <c r="M15" s="13" t="s">
        <v>73</v>
      </c>
      <c r="N15" s="6" t="str">
        <f>=Dashboard!Q93</f>
        <v>RAG search optimizations</v>
      </c>
    </row>
    <row r="16" spans="1:14" x14ac:dyDescent="0.25">
      <c r="A16" s="15" t="str">
        <f>=Dashboard!A97</f>
        <v>TASK-FR-004</v>
      </c>
      <c r="B16" s="9" t="str">
        <f>=Dashboard!C97</f>
        <v>Attendance Workflow Testing</v>
      </c>
      <c r="C16" s="9" t="str">
        <f>=Dashboard!D97</f>
        <v>Fadi Ahmed</v>
      </c>
      <c r="D16" s="15" t="str">
        <f>=Dashboard!E97</f>
        <v>High</v>
      </c>
      <c r="E16" s="15" t="str">
        <f>=Dashboard!I97</f>
        <v>TASK-FR-003</v>
      </c>
      <c r="F16" s="15" t="str">
        <f>=Dashboard!F97</f>
        <v>Not Started</v>
      </c>
      <c r="G16" s="9" t="s">
        <v>630</v>
      </c>
      <c r="H16" s="9" t="s">
        <v>631</v>
      </c>
      <c r="I16" s="9" t="s">
        <v>632</v>
      </c>
      <c r="J16" s="9" t="s">
        <v>633</v>
      </c>
      <c r="K16" s="9" t="s">
        <v>550</v>
      </c>
      <c r="L16" s="15" t="s">
        <v>166</v>
      </c>
      <c r="M16" s="15" t="s">
        <v>166</v>
      </c>
      <c r="N16" s="9" t="str">
        <f>=Dashboard!Q97</f>
        <v>Strict consent checker gating attendance validation</v>
      </c>
    </row>
    <row r="17" spans="1:14" x14ac:dyDescent="0.25">
      <c r="A17" s="13" t="str">
        <f>=Dashboard!A98</f>
        <v>TASK-FR-005</v>
      </c>
      <c r="B17" s="6" t="str">
        <f>=Dashboard!C98</f>
        <v>Recognition Accuracy Testing</v>
      </c>
      <c r="C17" s="6" t="str">
        <f>=Dashboard!D98</f>
        <v>Fadi Ahmed</v>
      </c>
      <c r="D17" s="13" t="str">
        <f>=Dashboard!E98</f>
        <v>High</v>
      </c>
      <c r="E17" s="13" t="str">
        <f>=Dashboard!I98</f>
        <v>TASK-FR-002</v>
      </c>
      <c r="F17" s="13" t="str">
        <f>=Dashboard!F98</f>
        <v>Not Started</v>
      </c>
      <c r="G17" s="6" t="s">
        <v>637</v>
      </c>
      <c r="H17" s="6" t="s">
        <v>638</v>
      </c>
      <c r="I17" s="6" t="s">
        <v>639</v>
      </c>
      <c r="J17" s="6" t="s">
        <v>640</v>
      </c>
      <c r="K17" s="6" t="s">
        <v>550</v>
      </c>
      <c r="L17" s="13" t="s">
        <v>166</v>
      </c>
      <c r="M17" s="13" t="s">
        <v>166</v>
      </c>
      <c r="N17" s="6" t="str">
        <f>=Dashboard!Q98</f>
        <v>Audits against spoof attacks</v>
      </c>
    </row>
    <row r="18" spans="1:14" x14ac:dyDescent="0.25">
      <c r="A18" s="15" t="str">
        <f>=Dashboard!A105</f>
        <v>TASK-QA-003</v>
      </c>
      <c r="B18" s="9" t="str">
        <f>=Dashboard!C105</f>
        <v>UAT preparation</v>
      </c>
      <c r="C18" s="9" t="str">
        <f>=Dashboard!D105</f>
        <v>Minha Palakkathodi</v>
      </c>
      <c r="D18" s="15" t="str">
        <f>=Dashboard!E105</f>
        <v>High</v>
      </c>
      <c r="E18" s="15" t="str">
        <f>=Dashboard!I105</f>
        <v>None</v>
      </c>
      <c r="F18" s="15" t="str">
        <f>=Dashboard!F105</f>
        <v>Not Started</v>
      </c>
      <c r="G18" s="9" t="s">
        <v>688</v>
      </c>
      <c r="H18" s="9" t="s">
        <v>689</v>
      </c>
      <c r="I18" s="9" t="s">
        <v>690</v>
      </c>
      <c r="J18" s="9" t="s">
        <v>691</v>
      </c>
      <c r="K18" s="9" t="s">
        <v>677</v>
      </c>
      <c r="L18" s="15" t="s">
        <v>73</v>
      </c>
      <c r="M18" s="15" t="s">
        <v>73</v>
      </c>
      <c r="N18" s="9" t="str">
        <f>=Dashboard!Q105</f>
        <v>Acceptance checklist templates</v>
      </c>
    </row>
  </sheetData>
  <autoFilter ref="A2:N18"/>
  <mergeCells count="1">
    <mergeCell ref="A1:N1"/>
  </mergeCells>
  <conditionalFormatting sqref="F3:F18">
    <cfRule type="cellIs" dxfId="54" priority="1" operator="equal">
      <formula>"Completed"</formula>
    </cfRule>
    <cfRule type="cellIs" dxfId="55" priority="2" operator="equal">
      <formula>"In Progress"</formula>
    </cfRule>
    <cfRule type="cellIs" dxfId="56" priority="3" operator="equal">
      <formula>"Review"</formula>
    </cfRule>
    <cfRule type="cellIs" dxfId="57" priority="4" operator="equal">
      <formula>"Blocked"</formula>
    </cfRule>
    <cfRule type="cellIs" dxfId="58" priority="5" operator="equal">
      <formula>"Not Started"</formula>
    </cfRule>
  </conditionalFormatting>
  <conditionalFormatting sqref="D3:D18">
    <cfRule type="cellIs" dxfId="59" priority="6" operator="equal">
      <formula>"Critical"</formula>
    </cfRule>
    <cfRule type="cellIs" dxfId="60" priority="7" operator="equal">
      <formula>"High"</formula>
    </cfRule>
    <cfRule type="cellIs" dxfId="61" priority="8" operator="equal">
      <formula>"Medium"</formula>
    </cfRule>
    <cfRule type="cellIs" dxfId="62" priority="9" operator="equal">
      <formula>"Low"</formula>
    </cfRule>
  </conditionalFormatting>
  <dataValidations count="4">
    <dataValidation type="list" allowBlank="1" sqref="D10:D18">
      <formula1>"Critical,High,Medium,Low"</formula1>
    </dataValidation>
    <dataValidation type="list" allowBlank="1" sqref="D3:D18">
      <formula1>"Critical,High,Medium,Low"</formula1>
    </dataValidation>
    <dataValidation type="list" allowBlank="1" sqref="F10:F18">
      <formula1>"Not Started,In Progress,Review,Completed,Blocked"</formula1>
    </dataValidation>
    <dataValidation type="list" allowBlank="1" sqref="F3:F1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755</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=Dashboard!A40</f>
        <v>TASK-DB-016</v>
      </c>
      <c r="B3" s="6" t="str">
        <f>=Dashboard!C40</f>
        <v>Query optimization</v>
      </c>
      <c r="C3" s="6" t="str">
        <f>=Dashboard!D40</f>
        <v>Fathima Hana</v>
      </c>
      <c r="D3" s="13" t="str">
        <f>=Dashboard!E40</f>
        <v>Medium</v>
      </c>
      <c r="E3" s="13" t="str">
        <f>=Dashboard!I40</f>
        <v>TASK-DB-013</v>
      </c>
      <c r="F3" s="13" t="str">
        <f>=Dashboard!F40</f>
        <v>Not Started</v>
      </c>
      <c r="G3" s="6" t="s">
        <v>232</v>
      </c>
      <c r="H3" s="6" t="s">
        <v>233</v>
      </c>
      <c r="I3" s="6" t="s">
        <v>234</v>
      </c>
      <c r="J3" s="6" t="s">
        <v>235</v>
      </c>
      <c r="K3" s="6" t="s">
        <v>96</v>
      </c>
      <c r="L3" s="13" t="s">
        <v>166</v>
      </c>
      <c r="M3" s="13" t="s">
        <v>73</v>
      </c>
      <c r="N3" s="6" t="str">
        <f>=Dashboard!Q40</f>
        <v>Support: Adithyan N. Optimizing pipeline matches</v>
      </c>
    </row>
    <row r="4" spans="1:14" x14ac:dyDescent="0.25">
      <c r="A4" s="15" t="str">
        <f>=Dashboard!A80</f>
        <v>TASK-FE-020</v>
      </c>
      <c r="B4" s="9" t="str">
        <f>=Dashboard!C80</f>
        <v>Responsive fixes</v>
      </c>
      <c r="C4" s="9" t="str">
        <f>=Dashboard!D80</f>
        <v>Adithyan N</v>
      </c>
      <c r="D4" s="15" t="str">
        <f>=Dashboard!E80</f>
        <v>Medium</v>
      </c>
      <c r="E4" s="15" t="str">
        <f>=Dashboard!I80</f>
        <v>TASK-FE-004</v>
      </c>
      <c r="F4" s="15" t="str">
        <f>=Dashboard!F80</f>
        <v>Not Started</v>
      </c>
      <c r="G4" s="9" t="s">
        <v>511</v>
      </c>
      <c r="H4" s="9" t="s">
        <v>512</v>
      </c>
      <c r="I4" s="9" t="s">
        <v>513</v>
      </c>
      <c r="J4" s="9" t="s">
        <v>514</v>
      </c>
      <c r="K4" s="9" t="s">
        <v>381</v>
      </c>
      <c r="L4" s="15" t="s">
        <v>166</v>
      </c>
      <c r="M4" s="15" t="s">
        <v>73</v>
      </c>
      <c r="N4" s="9" t="str">
        <f>=Dashboard!Q80</f>
        <v>Fluid grids testing</v>
      </c>
    </row>
    <row r="5" spans="1:14" x14ac:dyDescent="0.25">
      <c r="A5" s="13" t="str">
        <f>=Dashboard!A99</f>
        <v>TASK-FR-006</v>
      </c>
      <c r="B5" s="6" t="str">
        <f>=Dashboard!C99</f>
        <v>Cross-Browser Camera Testing</v>
      </c>
      <c r="C5" s="6" t="str">
        <f>=Dashboard!D99</f>
        <v>Fadi Ahmed</v>
      </c>
      <c r="D5" s="13" t="str">
        <f>=Dashboard!E99</f>
        <v>Medium</v>
      </c>
      <c r="E5" s="13" t="str">
        <f>=Dashboard!I99</f>
        <v>TASK-FR-003</v>
      </c>
      <c r="F5" s="13" t="str">
        <f>=Dashboard!F99</f>
        <v>Not Started</v>
      </c>
      <c r="G5" s="6" t="s">
        <v>644</v>
      </c>
      <c r="H5" s="6" t="s">
        <v>645</v>
      </c>
      <c r="I5" s="6" t="s">
        <v>646</v>
      </c>
      <c r="J5" s="6" t="s">
        <v>647</v>
      </c>
      <c r="K5" s="6" t="s">
        <v>550</v>
      </c>
      <c r="L5" s="13" t="s">
        <v>166</v>
      </c>
      <c r="M5" s="13" t="s">
        <v>166</v>
      </c>
      <c r="N5" s="6" t="str">
        <f>=Dashboard!Q99</f>
        <v>Webcam permissions tests on Safari/Firefox/Chrome</v>
      </c>
    </row>
    <row r="6" spans="1:14" x14ac:dyDescent="0.25">
      <c r="A6" s="15" t="str">
        <f>=Dashboard!A101</f>
        <v>TASK-FR-008</v>
      </c>
      <c r="B6" s="9" t="str">
        <f>=Dashboard!C101</f>
        <v>System Integration Testing</v>
      </c>
      <c r="C6" s="9" t="str">
        <f>=Dashboard!D101</f>
        <v>Fadi Ahmed</v>
      </c>
      <c r="D6" s="15" t="str">
        <f>=Dashboard!E101</f>
        <v>High</v>
      </c>
      <c r="E6" s="15" t="str">
        <f>=Dashboard!I101</f>
        <v>TASK-FR-004</v>
      </c>
      <c r="F6" s="15" t="str">
        <f>=Dashboard!F101</f>
        <v>Not Started</v>
      </c>
      <c r="G6" s="9" t="s">
        <v>658</v>
      </c>
      <c r="H6" s="9" t="s">
        <v>659</v>
      </c>
      <c r="I6" s="9" t="s">
        <v>660</v>
      </c>
      <c r="J6" s="9" t="s">
        <v>661</v>
      </c>
      <c r="K6" s="9" t="s">
        <v>550</v>
      </c>
      <c r="L6" s="15" t="s">
        <v>166</v>
      </c>
      <c r="M6" s="15" t="s">
        <v>166</v>
      </c>
      <c r="N6" s="9" t="str">
        <f>=Dashboard!Q101</f>
        <v>Gating RBAC reviews verified</v>
      </c>
    </row>
    <row r="7" spans="1:14" x14ac:dyDescent="0.25">
      <c r="A7" s="13" t="str">
        <f>=Dashboard!A108</f>
        <v>TASK-QA-006</v>
      </c>
      <c r="B7" s="6" t="str">
        <f>=Dashboard!C108</f>
        <v>QA reports</v>
      </c>
      <c r="C7" s="6" t="str">
        <f>=Dashboard!D108</f>
        <v>Minha Palakkathodi</v>
      </c>
      <c r="D7" s="13" t="str">
        <f>=Dashboard!E108</f>
        <v>Medium</v>
      </c>
      <c r="E7" s="13" t="str">
        <f>=Dashboard!I108</f>
        <v>None</v>
      </c>
      <c r="F7" s="13" t="str">
        <f>=Dashboard!F108</f>
        <v>Not Started</v>
      </c>
      <c r="G7" s="6" t="s">
        <v>709</v>
      </c>
      <c r="H7" s="6" t="s">
        <v>710</v>
      </c>
      <c r="I7" s="6" t="s">
        <v>711</v>
      </c>
      <c r="J7" s="6" t="s">
        <v>712</v>
      </c>
      <c r="K7" s="6" t="s">
        <v>677</v>
      </c>
      <c r="L7" s="13" t="s">
        <v>73</v>
      </c>
      <c r="M7" s="13" t="s">
        <v>73</v>
      </c>
      <c r="N7" s="6" t="str">
        <f>=Dashboard!Q108</f>
        <v>Test pass metrics logs summary</v>
      </c>
    </row>
    <row r="8" spans="1:14" x14ac:dyDescent="0.25">
      <c r="A8" s="15" t="str">
        <f>=Dashboard!A109</f>
        <v>TASK-QA-007</v>
      </c>
      <c r="B8" s="9" t="str">
        <f>=Dashboard!C109</f>
        <v>Bug verification</v>
      </c>
      <c r="C8" s="9" t="str">
        <f>=Dashboard!D109</f>
        <v>Minha Palakkathodi</v>
      </c>
      <c r="D8" s="15" t="str">
        <f>=Dashboard!E109</f>
        <v>High</v>
      </c>
      <c r="E8" s="15" t="str">
        <f>=Dashboard!I109</f>
        <v>None</v>
      </c>
      <c r="F8" s="15" t="str">
        <f>=Dashboard!F109</f>
        <v>Not Started</v>
      </c>
      <c r="G8" s="9" t="s">
        <v>716</v>
      </c>
      <c r="H8" s="9" t="s">
        <v>717</v>
      </c>
      <c r="I8" s="9" t="s">
        <v>718</v>
      </c>
      <c r="J8" s="9" t="s">
        <v>719</v>
      </c>
      <c r="K8" s="9" t="s">
        <v>677</v>
      </c>
      <c r="L8" s="15" t="s">
        <v>73</v>
      </c>
      <c r="M8" s="15" t="s">
        <v>73</v>
      </c>
      <c r="N8" s="9" t="str">
        <f>=Dashboard!Q109</f>
        <v>Verify fix statuses</v>
      </c>
    </row>
  </sheetData>
  <autoFilter ref="A2:N8"/>
  <mergeCells count="1">
    <mergeCell ref="A1:N1"/>
  </mergeCells>
  <conditionalFormatting sqref="F3:F8">
    <cfRule type="cellIs" dxfId="63" priority="1" operator="equal">
      <formula>"Completed"</formula>
    </cfRule>
    <cfRule type="cellIs" dxfId="64" priority="2" operator="equal">
      <formula>"In Progress"</formula>
    </cfRule>
    <cfRule type="cellIs" dxfId="65" priority="3" operator="equal">
      <formula>"Review"</formula>
    </cfRule>
    <cfRule type="cellIs" dxfId="66" priority="4" operator="equal">
      <formula>"Blocked"</formula>
    </cfRule>
    <cfRule type="cellIs" dxfId="67" priority="5" operator="equal">
      <formula>"Not Started"</formula>
    </cfRule>
  </conditionalFormatting>
  <conditionalFormatting sqref="D3:D8">
    <cfRule type="cellIs" dxfId="68" priority="6" operator="equal">
      <formula>"Critical"</formula>
    </cfRule>
    <cfRule type="cellIs" dxfId="69" priority="7" operator="equal">
      <formula>"High"</formula>
    </cfRule>
    <cfRule type="cellIs" dxfId="70" priority="8" operator="equal">
      <formula>"Medium"</formula>
    </cfRule>
    <cfRule type="cellIs" dxfId="71" priority="9" operator="equal">
      <formula>"Low"</formula>
    </cfRule>
  </conditionalFormatting>
  <dataValidations count="2">
    <dataValidation type="list" allowBlank="1" sqref="D3:D8">
      <formula1>"Critical,High,Medium,Low"</formula1>
    </dataValidation>
    <dataValidation type="list" allowBlank="1" sqref="F3:F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workbookViewId="0">
      <pane ySplit="2" topLeftCell="A3" activePane="bottomLeft" state="frozen"/>
      <selection pane="bottomLeft"/>
    </sheetView>
  </sheetViews>
  <sheetFormatPr defaultRowHeight="15" outlineLevelRow="0" outlineLevelCol="0" x14ac:dyDescent="55"/>
  <cols>
    <col min="1" max="7" width="40" customWidth="1"/>
    <col min="8" max="8" width="60" customWidth="1"/>
    <col min="9" max="9" width="25" customWidth="1"/>
    <col min="10" max="10" width="30" customWidth="1"/>
    <col min="11" max="11" width="45" customWidth="1"/>
    <col min="12" max="14" width="40" customWidth="1"/>
  </cols>
  <sheetData>
    <row r="1" ht="24" customHeight="1" spans="1:14" x14ac:dyDescent="0.25">
      <c r="A1" s="36" t="s">
        <v>756</v>
      </c>
      <c r="B1" s="36"/>
      <c r="C1" s="36"/>
      <c r="D1" s="36"/>
      <c r="E1" s="36"/>
      <c r="F1" s="36"/>
      <c r="G1" s="36"/>
      <c r="H1" s="36"/>
      <c r="I1" s="36"/>
      <c r="J1" s="36"/>
      <c r="K1" s="36"/>
      <c r="L1" s="36"/>
      <c r="M1" s="36"/>
      <c r="N1" s="36"/>
    </row>
    <row r="2" ht="28" customHeight="1" spans="1:14" x14ac:dyDescent="0.25">
      <c r="A2" s="12" t="s">
        <v>43</v>
      </c>
      <c r="B2" s="12" t="s">
        <v>45</v>
      </c>
      <c r="C2" s="12" t="s">
        <v>46</v>
      </c>
      <c r="D2" s="12" t="s">
        <v>47</v>
      </c>
      <c r="E2" s="12" t="s">
        <v>51</v>
      </c>
      <c r="F2" s="12" t="s">
        <v>48</v>
      </c>
      <c r="G2" s="12" t="s">
        <v>52</v>
      </c>
      <c r="H2" s="12" t="s">
        <v>53</v>
      </c>
      <c r="I2" s="12" t="s">
        <v>54</v>
      </c>
      <c r="J2" s="12" t="s">
        <v>55</v>
      </c>
      <c r="K2" s="12" t="s">
        <v>56</v>
      </c>
      <c r="L2" s="12" t="s">
        <v>748</v>
      </c>
      <c r="M2" s="12" t="s">
        <v>749</v>
      </c>
      <c r="N2" s="12" t="s">
        <v>59</v>
      </c>
    </row>
    <row r="3" spans="1:14" x14ac:dyDescent="0.25">
      <c r="A3" s="13" t="str">
        <f>=Dashboard!A24</f>
        <v>TASK-INF-009</v>
      </c>
      <c r="B3" s="6" t="str">
        <f>=Dashboard!C24</f>
        <v>Deployment preparation</v>
      </c>
      <c r="C3" s="6" t="str">
        <f>=Dashboard!D24</f>
        <v>Adithyan N + Muhammad Sanish</v>
      </c>
      <c r="D3" s="13" t="str">
        <f>=Dashboard!E24</f>
        <v>Medium</v>
      </c>
      <c r="E3" s="13" t="str">
        <f>=Dashboard!I24</f>
        <v>None</v>
      </c>
      <c r="F3" s="13" t="str">
        <f>=Dashboard!F24</f>
        <v>Not Started</v>
      </c>
      <c r="G3" s="6" t="s">
        <v>130</v>
      </c>
      <c r="H3" s="6" t="s">
        <v>131</v>
      </c>
      <c r="I3" s="6" t="s">
        <v>132</v>
      </c>
      <c r="J3" s="6" t="s">
        <v>133</v>
      </c>
      <c r="K3" s="6" t="s">
        <v>71</v>
      </c>
      <c r="L3" s="13" t="s">
        <v>166</v>
      </c>
      <c r="M3" s="13" t="s">
        <v>166</v>
      </c>
      <c r="N3" s="6" t="str">
        <f>=Dashboard!Q24</f>
        <v>Production CORS policies configured</v>
      </c>
    </row>
    <row r="4" spans="1:14" x14ac:dyDescent="0.25">
      <c r="A4" s="15" t="str">
        <f>=Dashboard!A84</f>
        <v>TASK-FE-024</v>
      </c>
      <c r="B4" s="9" t="str">
        <f>=Dashboard!C84</f>
        <v>Final UI testing</v>
      </c>
      <c r="C4" s="9" t="str">
        <f>=Dashboard!D84</f>
        <v>Adithyan N</v>
      </c>
      <c r="D4" s="15" t="str">
        <f>=Dashboard!E84</f>
        <v>High</v>
      </c>
      <c r="E4" s="15" t="str">
        <f>=Dashboard!I84</f>
        <v>TASK-FE-021</v>
      </c>
      <c r="F4" s="15" t="str">
        <f>=Dashboard!F84</f>
        <v>Not Started</v>
      </c>
      <c r="G4" s="9" t="s">
        <v>539</v>
      </c>
      <c r="H4" s="9" t="s">
        <v>540</v>
      </c>
      <c r="I4" s="9" t="s">
        <v>541</v>
      </c>
      <c r="J4" s="9" t="s">
        <v>542</v>
      </c>
      <c r="K4" s="9" t="s">
        <v>381</v>
      </c>
      <c r="L4" s="15" t="s">
        <v>166</v>
      </c>
      <c r="M4" s="15" t="s">
        <v>73</v>
      </c>
      <c r="N4" s="9" t="str">
        <f>=Dashboard!Q84</f>
        <v>UX verification pass signoff</v>
      </c>
    </row>
    <row r="5" spans="1:14" x14ac:dyDescent="0.25">
      <c r="A5" s="13" t="str">
        <f>=Dashboard!A106</f>
        <v>TASK-QA-004</v>
      </c>
      <c r="B5" s="6" t="str">
        <f>=Dashboard!C106</f>
        <v>Documentation review</v>
      </c>
      <c r="C5" s="6" t="str">
        <f>=Dashboard!D106</f>
        <v>Minha Palakkathodi</v>
      </c>
      <c r="D5" s="13" t="str">
        <f>=Dashboard!E106</f>
        <v>Medium</v>
      </c>
      <c r="E5" s="13" t="str">
        <f>=Dashboard!I106</f>
        <v>None</v>
      </c>
      <c r="F5" s="13" t="str">
        <f>=Dashboard!F106</f>
        <v>Not Started</v>
      </c>
      <c r="G5" s="6" t="s">
        <v>695</v>
      </c>
      <c r="H5" s="6" t="s">
        <v>696</v>
      </c>
      <c r="I5" s="6" t="s">
        <v>697</v>
      </c>
      <c r="J5" s="6" t="s">
        <v>698</v>
      </c>
      <c r="K5" s="6" t="s">
        <v>677</v>
      </c>
      <c r="L5" s="13" t="s">
        <v>73</v>
      </c>
      <c r="M5" s="13" t="s">
        <v>73</v>
      </c>
      <c r="N5" s="6" t="str">
        <f>=Dashboard!Q106</f>
        <v>Checks repository documents integrity</v>
      </c>
    </row>
    <row r="6" spans="1:14" x14ac:dyDescent="0.25">
      <c r="A6" s="15" t="str">
        <f>=Dashboard!A107</f>
        <v>TASK-QA-005</v>
      </c>
      <c r="B6" s="9" t="str">
        <f>=Dashboard!C107</f>
        <v>Security checklist review</v>
      </c>
      <c r="C6" s="9" t="str">
        <f>=Dashboard!D107</f>
        <v>Minha Palakkathodi</v>
      </c>
      <c r="D6" s="15" t="str">
        <f>=Dashboard!E107</f>
        <v>High</v>
      </c>
      <c r="E6" s="15" t="str">
        <f>=Dashboard!I107</f>
        <v>None</v>
      </c>
      <c r="F6" s="15" t="str">
        <f>=Dashboard!F107</f>
        <v>Not Started</v>
      </c>
      <c r="G6" s="9" t="s">
        <v>702</v>
      </c>
      <c r="H6" s="9" t="s">
        <v>703</v>
      </c>
      <c r="I6" s="9" t="s">
        <v>704</v>
      </c>
      <c r="J6" s="9" t="s">
        <v>705</v>
      </c>
      <c r="K6" s="9" t="s">
        <v>669</v>
      </c>
      <c r="L6" s="15" t="s">
        <v>73</v>
      </c>
      <c r="M6" s="15" t="s">
        <v>73</v>
      </c>
      <c r="N6" s="9" t="str">
        <f>=Dashboard!Q107</f>
        <v>Checks details audits validation</v>
      </c>
    </row>
    <row r="7" spans="1:14" x14ac:dyDescent="0.25">
      <c r="A7" s="13" t="str">
        <f>=Dashboard!A110</f>
        <v>TASK-QA-008</v>
      </c>
      <c r="B7" s="6" t="str">
        <f>=Dashboard!C110</f>
        <v>Final documentation</v>
      </c>
      <c r="C7" s="6" t="str">
        <f>=Dashboard!D110</f>
        <v>Minha Palakkathodi</v>
      </c>
      <c r="D7" s="13" t="str">
        <f>=Dashboard!E110</f>
        <v>High</v>
      </c>
      <c r="E7" s="13" t="str">
        <f>=Dashboard!I110</f>
        <v>None</v>
      </c>
      <c r="F7" s="13" t="str">
        <f>=Dashboard!F110</f>
        <v>Not Started</v>
      </c>
      <c r="G7" s="6" t="s">
        <v>723</v>
      </c>
      <c r="H7" s="6" t="s">
        <v>724</v>
      </c>
      <c r="I7" s="6" t="s">
        <v>725</v>
      </c>
      <c r="J7" s="6" t="s">
        <v>726</v>
      </c>
      <c r="K7" s="6" t="s">
        <v>677</v>
      </c>
      <c r="L7" s="13" t="s">
        <v>73</v>
      </c>
      <c r="M7" s="13" t="s">
        <v>73</v>
      </c>
      <c r="N7" s="6" t="str">
        <f>=Dashboard!Q110</f>
        <v>Complete architecture references</v>
      </c>
    </row>
    <row r="8" spans="1:14" x14ac:dyDescent="0.25">
      <c r="A8" s="15" t="str">
        <f>=Dashboard!A111</f>
        <v>TASK-QA-009</v>
      </c>
      <c r="B8" s="9" t="str">
        <f>=Dashboard!C111</f>
        <v>Handover documentation</v>
      </c>
      <c r="C8" s="9" t="str">
        <f>=Dashboard!D111</f>
        <v>Minha Palakkathodi</v>
      </c>
      <c r="D8" s="15" t="str">
        <f>=Dashboard!E111</f>
        <v>High</v>
      </c>
      <c r="E8" s="15" t="str">
        <f>=Dashboard!I111</f>
        <v>TASK-QA-008</v>
      </c>
      <c r="F8" s="15" t="str">
        <f>=Dashboard!F111</f>
        <v>Not Started</v>
      </c>
      <c r="G8" s="9" t="s">
        <v>730</v>
      </c>
      <c r="H8" s="9" t="s">
        <v>731</v>
      </c>
      <c r="I8" s="9" t="s">
        <v>732</v>
      </c>
      <c r="J8" s="9" t="s">
        <v>733</v>
      </c>
      <c r="K8" s="9" t="s">
        <v>734</v>
      </c>
      <c r="L8" s="15" t="s">
        <v>73</v>
      </c>
      <c r="M8" s="15" t="s">
        <v>73</v>
      </c>
      <c r="N8" s="9" t="str">
        <f>=Dashboard!Q111</f>
        <v>Log logins and operational keys handover structures</v>
      </c>
    </row>
  </sheetData>
  <autoFilter ref="A2:N8"/>
  <mergeCells count="1">
    <mergeCell ref="A1:N1"/>
  </mergeCells>
  <conditionalFormatting sqref="F3:F8">
    <cfRule type="cellIs" dxfId="72" priority="1" operator="equal">
      <formula>"Completed"</formula>
    </cfRule>
    <cfRule type="cellIs" dxfId="73" priority="2" operator="equal">
      <formula>"In Progress"</formula>
    </cfRule>
    <cfRule type="cellIs" dxfId="74" priority="3" operator="equal">
      <formula>"Review"</formula>
    </cfRule>
    <cfRule type="cellIs" dxfId="75" priority="4" operator="equal">
      <formula>"Blocked"</formula>
    </cfRule>
    <cfRule type="cellIs" dxfId="76" priority="5" operator="equal">
      <formula>"Not Started"</formula>
    </cfRule>
  </conditionalFormatting>
  <conditionalFormatting sqref="D3:D8">
    <cfRule type="cellIs" dxfId="77" priority="6" operator="equal">
      <formula>"Critical"</formula>
    </cfRule>
    <cfRule type="cellIs" dxfId="78" priority="7" operator="equal">
      <formula>"High"</formula>
    </cfRule>
    <cfRule type="cellIs" dxfId="79" priority="8" operator="equal">
      <formula>"Medium"</formula>
    </cfRule>
    <cfRule type="cellIs" dxfId="80" priority="9" operator="equal">
      <formula>"Low"</formula>
    </cfRule>
  </conditionalFormatting>
  <dataValidations count="2">
    <dataValidation type="list" allowBlank="1" sqref="D3:D8">
      <formula1>"Critical,High,Medium,Low"</formula1>
    </dataValidation>
    <dataValidation type="list" allowBlank="1" sqref="F3:F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757</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=Dashboard!A41</f>
        <v>TASK-BE-001</v>
      </c>
      <c r="B3" s="6" t="str">
        <f>=Dashboard!C41</f>
        <v>Express setup</v>
      </c>
      <c r="C3" s="6" t="str">
        <f>=Dashboard!D41</f>
        <v>Muhammad Sanish</v>
      </c>
      <c r="D3" s="13" t="str">
        <f>=Dashboard!E41</f>
        <v>Critical</v>
      </c>
      <c r="E3" s="13" t="str">
        <f>=Dashboard!F41</f>
        <v>Not Started</v>
      </c>
      <c r="F3" s="13" t="str">
        <f>=Dashboard!H41</f>
        <v>Day 1</v>
      </c>
      <c r="G3" s="13" t="str">
        <f>=Dashboard!I41</f>
        <v>TASK-INF-005</v>
      </c>
      <c r="H3" s="6" t="s">
        <v>239</v>
      </c>
      <c r="I3" s="6" t="s">
        <v>240</v>
      </c>
      <c r="J3" s="6" t="s">
        <v>241</v>
      </c>
      <c r="K3" s="6" t="s">
        <v>242</v>
      </c>
      <c r="L3" s="6" t="s">
        <v>243</v>
      </c>
      <c r="M3" s="13" t="str">
        <f>=Dashboard!O41</f>
        <v>Pending</v>
      </c>
      <c r="N3" s="6" t="str">
        <f>=Dashboard!Q41</f>
        <v>Security middleware active</v>
      </c>
      <c r="O3" s="38">
        <v>46192</v>
      </c>
    </row>
    <row r="4" spans="1:15" x14ac:dyDescent="0.25">
      <c r="A4" s="15" t="str">
        <f>=Dashboard!A42</f>
        <v>TASK-BE-002</v>
      </c>
      <c r="B4" s="9" t="str">
        <f>=Dashboard!C42</f>
        <v>MongoDB connection</v>
      </c>
      <c r="C4" s="9" t="str">
        <f>=Dashboard!D42</f>
        <v>Muhammad Sanish</v>
      </c>
      <c r="D4" s="15" t="str">
        <f>=Dashboard!E42</f>
        <v>Critical</v>
      </c>
      <c r="E4" s="15" t="str">
        <f>=Dashboard!F42</f>
        <v>Not Started</v>
      </c>
      <c r="F4" s="15" t="str">
        <f>=Dashboard!H42</f>
        <v>Day 1</v>
      </c>
      <c r="G4" s="15" t="str">
        <f>=Dashboard!I42</f>
        <v>TASK-INF-004</v>
      </c>
      <c r="H4" s="9" t="s">
        <v>247</v>
      </c>
      <c r="I4" s="9" t="s">
        <v>248</v>
      </c>
      <c r="J4" s="9" t="s">
        <v>249</v>
      </c>
      <c r="K4" s="9" t="s">
        <v>250</v>
      </c>
      <c r="L4" s="9" t="s">
        <v>243</v>
      </c>
      <c r="M4" s="15" t="str">
        <f>=Dashboard!O42</f>
        <v>Pending</v>
      </c>
      <c r="N4" s="9" t="str">
        <f>=Dashboard!Q42</f>
        <v>Connection pool set to 10 connections max</v>
      </c>
      <c r="O4" s="39">
        <v>46192</v>
      </c>
    </row>
    <row r="5" spans="1:15" x14ac:dyDescent="0.25">
      <c r="A5" s="13" t="str">
        <f>=Dashboard!A43</f>
        <v>TASK-BE-003</v>
      </c>
      <c r="B5" s="6" t="str">
        <f>=Dashboard!C43</f>
        <v>Environment configuration</v>
      </c>
      <c r="C5" s="6" t="str">
        <f>=Dashboard!D43</f>
        <v>Muhammad Sanish</v>
      </c>
      <c r="D5" s="13" t="str">
        <f>=Dashboard!E43</f>
        <v>High</v>
      </c>
      <c r="E5" s="13" t="str">
        <f>=Dashboard!F43</f>
        <v>Not Started</v>
      </c>
      <c r="F5" s="13" t="str">
        <f>=Dashboard!H43</f>
        <v>Day 1</v>
      </c>
      <c r="G5" s="13" t="str">
        <f>=Dashboard!I43</f>
        <v>TASK-INF-005</v>
      </c>
      <c r="H5" s="6" t="s">
        <v>254</v>
      </c>
      <c r="I5" s="6" t="s">
        <v>255</v>
      </c>
      <c r="J5" s="6" t="s">
        <v>256</v>
      </c>
      <c r="K5" s="6" t="s">
        <v>257</v>
      </c>
      <c r="L5" s="6" t="s">
        <v>243</v>
      </c>
      <c r="M5" s="13" t="str">
        <f>=Dashboard!O43</f>
        <v>Pending</v>
      </c>
      <c r="N5" s="6" t="str">
        <f>=Dashboard!Q43</f>
        <v>Throws startup error on missing keys</v>
      </c>
      <c r="O5" s="38">
        <v>46192</v>
      </c>
    </row>
    <row r="6" spans="1:15" x14ac:dyDescent="0.25">
      <c r="A6" s="15" t="str">
        <f>=Dashboard!A44</f>
        <v>TASK-BE-004</v>
      </c>
      <c r="B6" s="9" t="str">
        <f>=Dashboard!C44</f>
        <v>Authentication APIs</v>
      </c>
      <c r="C6" s="9" t="str">
        <f>=Dashboard!D44</f>
        <v>Muhammad Sanish</v>
      </c>
      <c r="D6" s="15" t="str">
        <f>=Dashboard!E44</f>
        <v>Critical</v>
      </c>
      <c r="E6" s="15" t="str">
        <f>=Dashboard!F44</f>
        <v>Not Started</v>
      </c>
      <c r="F6" s="15" t="str">
        <f>=Dashboard!H44</f>
        <v>Day 2</v>
      </c>
      <c r="G6" s="15" t="str">
        <f>=Dashboard!I44</f>
        <v>TASK-BE-001</v>
      </c>
      <c r="H6" s="9" t="s">
        <v>261</v>
      </c>
      <c r="I6" s="9" t="s">
        <v>262</v>
      </c>
      <c r="J6" s="9" t="s">
        <v>263</v>
      </c>
      <c r="K6" s="9" t="s">
        <v>264</v>
      </c>
      <c r="L6" s="9" t="s">
        <v>243</v>
      </c>
      <c r="M6" s="15" t="str">
        <f>=Dashboard!O44</f>
        <v>Pending</v>
      </c>
      <c r="N6" s="9" t="str">
        <f>=Dashboard!Q44</f>
        <v>Bcrypt salt rounds configured</v>
      </c>
      <c r="O6" s="39">
        <v>46192</v>
      </c>
    </row>
    <row r="7" spans="1:15" x14ac:dyDescent="0.25">
      <c r="A7" s="13" t="str">
        <f>=Dashboard!A45</f>
        <v>TASK-BE-005</v>
      </c>
      <c r="B7" s="6" t="str">
        <f>=Dashboard!C45</f>
        <v>JWT implementation</v>
      </c>
      <c r="C7" s="6" t="str">
        <f>=Dashboard!D45</f>
        <v>Muhammad Sanish</v>
      </c>
      <c r="D7" s="13" t="str">
        <f>=Dashboard!E45</f>
        <v>Critical</v>
      </c>
      <c r="E7" s="13" t="str">
        <f>=Dashboard!F45</f>
        <v>Not Started</v>
      </c>
      <c r="F7" s="13" t="str">
        <f>=Dashboard!H45</f>
        <v>Day 2</v>
      </c>
      <c r="G7" s="13" t="str">
        <f>=Dashboard!I45</f>
        <v>TASK-BE-004</v>
      </c>
      <c r="H7" s="6" t="s">
        <v>268</v>
      </c>
      <c r="I7" s="6" t="s">
        <v>269</v>
      </c>
      <c r="J7" s="6" t="s">
        <v>270</v>
      </c>
      <c r="K7" s="6" t="s">
        <v>271</v>
      </c>
      <c r="L7" s="6" t="s">
        <v>243</v>
      </c>
      <c r="M7" s="13" t="str">
        <f>=Dashboard!O45</f>
        <v>Pending</v>
      </c>
      <c r="N7" s="6" t="str">
        <f>=Dashboard!Q45</f>
        <v>Token expires in 15 mins</v>
      </c>
      <c r="O7" s="38">
        <v>46192</v>
      </c>
    </row>
    <row r="8" spans="1:15" x14ac:dyDescent="0.25">
      <c r="A8" s="15" t="str">
        <f>=Dashboard!A46</f>
        <v>TASK-BE-006</v>
      </c>
      <c r="B8" s="9" t="str">
        <f>=Dashboard!C46</f>
        <v>Refresh token API</v>
      </c>
      <c r="C8" s="9" t="str">
        <f>=Dashboard!D46</f>
        <v>Muhammad Sanish</v>
      </c>
      <c r="D8" s="15" t="str">
        <f>=Dashboard!E46</f>
        <v>High</v>
      </c>
      <c r="E8" s="15" t="str">
        <f>=Dashboard!F46</f>
        <v>Not Started</v>
      </c>
      <c r="F8" s="15" t="str">
        <f>=Dashboard!H46</f>
        <v>Day 2</v>
      </c>
      <c r="G8" s="15" t="str">
        <f>=Dashboard!I46</f>
        <v>TASK-BE-005</v>
      </c>
      <c r="H8" s="9" t="s">
        <v>275</v>
      </c>
      <c r="I8" s="9" t="s">
        <v>276</v>
      </c>
      <c r="J8" s="9" t="s">
        <v>277</v>
      </c>
      <c r="K8" s="9" t="s">
        <v>278</v>
      </c>
      <c r="L8" s="9" t="s">
        <v>243</v>
      </c>
      <c r="M8" s="15" t="str">
        <f>=Dashboard!O46</f>
        <v>Pending</v>
      </c>
      <c r="N8" s="9" t="str">
        <f>=Dashboard!Q46</f>
        <v>Secure cookie transport tags configuration</v>
      </c>
      <c r="O8" s="39">
        <v>46192</v>
      </c>
    </row>
    <row r="9" spans="1:15" x14ac:dyDescent="0.25">
      <c r="A9" s="13" t="str">
        <f>=Dashboard!A47</f>
        <v>TASK-BE-007</v>
      </c>
      <c r="B9" s="6" t="str">
        <f>=Dashboard!C47</f>
        <v>Logout API</v>
      </c>
      <c r="C9" s="6" t="str">
        <f>=Dashboard!D47</f>
        <v>Muhammad Sanish</v>
      </c>
      <c r="D9" s="13" t="str">
        <f>=Dashboard!E47</f>
        <v>Medium</v>
      </c>
      <c r="E9" s="13" t="str">
        <f>=Dashboard!F47</f>
        <v>Not Started</v>
      </c>
      <c r="F9" s="13" t="str">
        <f>=Dashboard!H47</f>
        <v>Day 2</v>
      </c>
      <c r="G9" s="13" t="str">
        <f>=Dashboard!I47</f>
        <v>TASK-BE-005</v>
      </c>
      <c r="H9" s="6" t="s">
        <v>282</v>
      </c>
      <c r="I9" s="6" t="s">
        <v>283</v>
      </c>
      <c r="J9" s="6" t="s">
        <v>284</v>
      </c>
      <c r="K9" s="6" t="s">
        <v>285</v>
      </c>
      <c r="L9" s="6" t="s">
        <v>243</v>
      </c>
      <c r="M9" s="13" t="str">
        <f>=Dashboard!O47</f>
        <v>Pending</v>
      </c>
      <c r="N9" s="6" t="str">
        <f>=Dashboard!Q47</f>
        <v>Revokes active refresh session</v>
      </c>
      <c r="O9" s="38">
        <v>46192</v>
      </c>
    </row>
    <row r="10" spans="1:15" x14ac:dyDescent="0.25">
      <c r="A10" s="15" t="str">
        <f>=Dashboard!A48</f>
        <v>TASK-BE-008</v>
      </c>
      <c r="B10" s="9" t="str">
        <f>=Dashboard!C48</f>
        <v>RBAC middleware</v>
      </c>
      <c r="C10" s="9" t="str">
        <f>=Dashboard!D48</f>
        <v>Muhammad Sanish</v>
      </c>
      <c r="D10" s="15" t="str">
        <f>=Dashboard!E48</f>
        <v>Critical</v>
      </c>
      <c r="E10" s="15" t="str">
        <f>=Dashboard!F48</f>
        <v>Not Started</v>
      </c>
      <c r="F10" s="15" t="str">
        <f>=Dashboard!H48</f>
        <v>Day 1</v>
      </c>
      <c r="G10" s="15" t="str">
        <f>=Dashboard!I48</f>
        <v>TASK-BE-005</v>
      </c>
      <c r="H10" s="9" t="s">
        <v>289</v>
      </c>
      <c r="I10" s="9" t="s">
        <v>290</v>
      </c>
      <c r="J10" s="9" t="s">
        <v>291</v>
      </c>
      <c r="K10" s="9" t="s">
        <v>292</v>
      </c>
      <c r="L10" s="9" t="s">
        <v>243</v>
      </c>
      <c r="M10" s="15" t="str">
        <f>=Dashboard!O48</f>
        <v>Pending</v>
      </c>
      <c r="N10" s="9" t="str">
        <f>=Dashboard!Q48</f>
        <v>Role sets validation checks</v>
      </c>
      <c r="O10" s="39">
        <v>46192</v>
      </c>
    </row>
    <row r="11" spans="1:15" x14ac:dyDescent="0.25">
      <c r="A11" s="13" t="str">
        <f>=Dashboard!A49</f>
        <v>TASK-BE-009</v>
      </c>
      <c r="B11" s="6" t="str">
        <f>=Dashboard!C49</f>
        <v>Audit logging</v>
      </c>
      <c r="C11" s="6" t="str">
        <f>=Dashboard!D49</f>
        <v>Muhammad Sanish</v>
      </c>
      <c r="D11" s="13" t="str">
        <f>=Dashboard!E49</f>
        <v>High</v>
      </c>
      <c r="E11" s="13" t="str">
        <f>=Dashboard!F49</f>
        <v>Not Started</v>
      </c>
      <c r="F11" s="13" t="str">
        <f>=Dashboard!H49</f>
        <v>Day 5</v>
      </c>
      <c r="G11" s="13" t="str">
        <f>=Dashboard!I49</f>
        <v>TASK-BE-002</v>
      </c>
      <c r="H11" s="6" t="s">
        <v>296</v>
      </c>
      <c r="I11" s="6" t="s">
        <v>297</v>
      </c>
      <c r="J11" s="6" t="s">
        <v>298</v>
      </c>
      <c r="K11" s="6" t="s">
        <v>299</v>
      </c>
      <c r="L11" s="6" t="s">
        <v>243</v>
      </c>
      <c r="M11" s="13" t="str">
        <f>=Dashboard!O49</f>
        <v>Pending</v>
      </c>
      <c r="N11" s="6" t="str">
        <f>=Dashboard!Q49</f>
        <v>Writes directly to audit_logs collection</v>
      </c>
      <c r="O11" s="38">
        <v>46192</v>
      </c>
    </row>
    <row r="12" spans="1:15" x14ac:dyDescent="0.25">
      <c r="A12" s="15" t="str">
        <f>=Dashboard!A50</f>
        <v>TASK-BE-010</v>
      </c>
      <c r="B12" s="9" t="str">
        <f>=Dashboard!C50</f>
        <v>Error middleware</v>
      </c>
      <c r="C12" s="9" t="str">
        <f>=Dashboard!D50</f>
        <v>Muhammad Sanish</v>
      </c>
      <c r="D12" s="15" t="str">
        <f>=Dashboard!E50</f>
        <v>Medium</v>
      </c>
      <c r="E12" s="15" t="str">
        <f>=Dashboard!F50</f>
        <v>Not Started</v>
      </c>
      <c r="F12" s="15" t="str">
        <f>=Dashboard!H50</f>
        <v>Day 1</v>
      </c>
      <c r="G12" s="15" t="str">
        <f>=Dashboard!I50</f>
        <v>TASK-BE-001</v>
      </c>
      <c r="H12" s="9" t="s">
        <v>303</v>
      </c>
      <c r="I12" s="9" t="s">
        <v>304</v>
      </c>
      <c r="J12" s="9" t="s">
        <v>305</v>
      </c>
      <c r="K12" s="9" t="s">
        <v>306</v>
      </c>
      <c r="L12" s="9" t="s">
        <v>243</v>
      </c>
      <c r="M12" s="15" t="str">
        <f>=Dashboard!O50</f>
        <v>Pending</v>
      </c>
      <c r="N12" s="9" t="str">
        <f>=Dashboard!Q50</f>
        <v>Redacts stack traces in production environment</v>
      </c>
      <c r="O12" s="39">
        <v>46192</v>
      </c>
    </row>
    <row r="13" spans="1:15" x14ac:dyDescent="0.25">
      <c r="A13" s="13" t="str">
        <f>=Dashboard!A51</f>
        <v>TASK-BE-011</v>
      </c>
      <c r="B13" s="6" t="str">
        <f>=Dashboard!C51</f>
        <v>Validation middleware</v>
      </c>
      <c r="C13" s="6" t="str">
        <f>=Dashboard!D51</f>
        <v>Muhammad Sanish</v>
      </c>
      <c r="D13" s="13" t="str">
        <f>=Dashboard!E51</f>
        <v>High</v>
      </c>
      <c r="E13" s="13" t="str">
        <f>=Dashboard!F51</f>
        <v>Not Started</v>
      </c>
      <c r="F13" s="13" t="str">
        <f>=Dashboard!H51</f>
        <v>Day 1</v>
      </c>
      <c r="G13" s="13" t="str">
        <f>=Dashboard!I51</f>
        <v>TASK-BE-001</v>
      </c>
      <c r="H13" s="6" t="s">
        <v>310</v>
      </c>
      <c r="I13" s="6" t="s">
        <v>311</v>
      </c>
      <c r="J13" s="6" t="s">
        <v>312</v>
      </c>
      <c r="K13" s="6" t="s">
        <v>313</v>
      </c>
      <c r="L13" s="6" t="s">
        <v>243</v>
      </c>
      <c r="M13" s="13" t="str">
        <f>=Dashboard!O51</f>
        <v>Pending</v>
      </c>
      <c r="N13" s="6" t="str">
        <f>=Dashboard!Q51</f>
        <v>Strips unauthorized fields</v>
      </c>
      <c r="O13" s="38">
        <v>46192</v>
      </c>
    </row>
    <row r="14" spans="1:15" x14ac:dyDescent="0.25">
      <c r="A14" s="15" t="str">
        <f>=Dashboard!A52</f>
        <v>TASK-BE-012</v>
      </c>
      <c r="B14" s="9" t="str">
        <f>=Dashboard!C52</f>
        <v>Complaint APIs</v>
      </c>
      <c r="C14" s="9" t="str">
        <f>=Dashboard!D52</f>
        <v>Muhammad Sanish</v>
      </c>
      <c r="D14" s="15" t="str">
        <f>=Dashboard!E52</f>
        <v>High</v>
      </c>
      <c r="E14" s="15" t="str">
        <f>=Dashboard!F52</f>
        <v>Not Started</v>
      </c>
      <c r="F14" s="15" t="str">
        <f>=Dashboard!H52</f>
        <v>Day 2</v>
      </c>
      <c r="G14" s="15" t="str">
        <f>=Dashboard!I52</f>
        <v>TASK-BE-008</v>
      </c>
      <c r="H14" s="9" t="s">
        <v>317</v>
      </c>
      <c r="I14" s="9" t="s">
        <v>318</v>
      </c>
      <c r="J14" s="9" t="s">
        <v>319</v>
      </c>
      <c r="K14" s="9" t="s">
        <v>320</v>
      </c>
      <c r="L14" s="9" t="s">
        <v>243</v>
      </c>
      <c r="M14" s="15" t="str">
        <f>=Dashboard!O52</f>
        <v>Pending</v>
      </c>
      <c r="N14" s="9" t="str">
        <f>=Dashboard!Q52</f>
        <v>Resource ownership validations active</v>
      </c>
      <c r="O14" s="39">
        <v>46192</v>
      </c>
    </row>
    <row r="15" spans="1:15" x14ac:dyDescent="0.25">
      <c r="A15" s="13" t="str">
        <f>=Dashboard!A53</f>
        <v>TASK-BE-013</v>
      </c>
      <c r="B15" s="6" t="str">
        <f>=Dashboard!C53</f>
        <v>File Tracking APIs</v>
      </c>
      <c r="C15" s="6" t="str">
        <f>=Dashboard!D53</f>
        <v>Muhammad Sanish</v>
      </c>
      <c r="D15" s="13" t="str">
        <f>=Dashboard!E53</f>
        <v>Medium</v>
      </c>
      <c r="E15" s="13" t="str">
        <f>=Dashboard!F53</f>
        <v>Not Started</v>
      </c>
      <c r="F15" s="13" t="str">
        <f>=Dashboard!H53</f>
        <v>Day 3</v>
      </c>
      <c r="G15" s="13" t="str">
        <f>=Dashboard!I53</f>
        <v>TASK-BE-008</v>
      </c>
      <c r="H15" s="6" t="s">
        <v>324</v>
      </c>
      <c r="I15" s="6" t="s">
        <v>325</v>
      </c>
      <c r="J15" s="6" t="s">
        <v>319</v>
      </c>
      <c r="K15" s="6" t="s">
        <v>326</v>
      </c>
      <c r="L15" s="6" t="s">
        <v>243</v>
      </c>
      <c r="M15" s="13" t="str">
        <f>=Dashboard!O53</f>
        <v>Pending</v>
      </c>
      <c r="N15" s="6" t="str">
        <f>=Dashboard!Q53</f>
        <v>Suppresses internal notes and logs on public view</v>
      </c>
      <c r="O15" s="38">
        <v>46192</v>
      </c>
    </row>
    <row r="16" spans="1:15" x14ac:dyDescent="0.25">
      <c r="A16" s="15" t="str">
        <f>=Dashboard!A54</f>
        <v>TASK-BE-014</v>
      </c>
      <c r="B16" s="9" t="str">
        <f>=Dashboard!C54</f>
        <v>Feedback APIs</v>
      </c>
      <c r="C16" s="9" t="str">
        <f>=Dashboard!D54</f>
        <v>Muhammad Sanish</v>
      </c>
      <c r="D16" s="15" t="str">
        <f>=Dashboard!E54</f>
        <v>Medium</v>
      </c>
      <c r="E16" s="15" t="str">
        <f>=Dashboard!F54</f>
        <v>Not Started</v>
      </c>
      <c r="F16" s="15" t="str">
        <f>=Dashboard!H54</f>
        <v>Day 3</v>
      </c>
      <c r="G16" s="15" t="str">
        <f>=Dashboard!I54</f>
        <v>TASK-BE-012</v>
      </c>
      <c r="H16" s="9" t="s">
        <v>330</v>
      </c>
      <c r="I16" s="9" t="s">
        <v>331</v>
      </c>
      <c r="J16" s="9" t="s">
        <v>319</v>
      </c>
      <c r="K16" s="9" t="s">
        <v>332</v>
      </c>
      <c r="L16" s="9" t="s">
        <v>243</v>
      </c>
      <c r="M16" s="15" t="str">
        <f>=Dashboard!O54</f>
        <v>Pending</v>
      </c>
      <c r="N16" s="9" t="str">
        <f>=Dashboard!Q54</f>
        <v>Locks complaints database records on completion</v>
      </c>
      <c r="O16" s="39">
        <v>46192</v>
      </c>
    </row>
    <row r="17" spans="1:15" x14ac:dyDescent="0.25">
      <c r="A17" s="13" t="str">
        <f>=Dashboard!A55</f>
        <v>TASK-BE-015</v>
      </c>
      <c r="B17" s="6" t="str">
        <f>=Dashboard!C55</f>
        <v>Attendance APIs</v>
      </c>
      <c r="C17" s="6" t="str">
        <f>=Dashboard!D55</f>
        <v>Muhammad Sanish</v>
      </c>
      <c r="D17" s="13" t="str">
        <f>=Dashboard!E55</f>
        <v>High</v>
      </c>
      <c r="E17" s="13" t="str">
        <f>=Dashboard!F55</f>
        <v>Not Started</v>
      </c>
      <c r="F17" s="13" t="str">
        <f>=Dashboard!H55</f>
        <v>Day 4</v>
      </c>
      <c r="G17" s="13" t="str">
        <f>=Dashboard!I55</f>
        <v>TASK-BE-008</v>
      </c>
      <c r="H17" s="6" t="s">
        <v>336</v>
      </c>
      <c r="I17" s="6" t="s">
        <v>337</v>
      </c>
      <c r="J17" s="6" t="s">
        <v>319</v>
      </c>
      <c r="K17" s="6" t="s">
        <v>338</v>
      </c>
      <c r="L17" s="6" t="s">
        <v>243</v>
      </c>
      <c r="M17" s="13" t="str">
        <f>=Dashboard!O55</f>
        <v>Pending</v>
      </c>
      <c r="N17" s="6" t="str">
        <f>=Dashboard!Q55</f>
        <v>Validates consent status before scan logic</v>
      </c>
      <c r="O17" s="38">
        <v>46192</v>
      </c>
    </row>
    <row r="18" spans="1:15" x14ac:dyDescent="0.25">
      <c r="A18" s="15" t="str">
        <f>=Dashboard!A56</f>
        <v>TASK-BE-016</v>
      </c>
      <c r="B18" s="9" t="str">
        <f>=Dashboard!C56</f>
        <v>Admin APIs</v>
      </c>
      <c r="C18" s="9" t="str">
        <f>=Dashboard!D56</f>
        <v>Muhammad Sanish</v>
      </c>
      <c r="D18" s="15" t="str">
        <f>=Dashboard!E56</f>
        <v>High</v>
      </c>
      <c r="E18" s="15" t="str">
        <f>=Dashboard!F56</f>
        <v>Not Started</v>
      </c>
      <c r="F18" s="15" t="str">
        <f>=Dashboard!H56</f>
        <v>Day 5</v>
      </c>
      <c r="G18" s="15" t="str">
        <f>=Dashboard!I56</f>
        <v>TASK-BE-008</v>
      </c>
      <c r="H18" s="9" t="s">
        <v>342</v>
      </c>
      <c r="I18" s="9" t="s">
        <v>343</v>
      </c>
      <c r="J18" s="9" t="s">
        <v>344</v>
      </c>
      <c r="K18" s="9" t="s">
        <v>345</v>
      </c>
      <c r="L18" s="9" t="s">
        <v>243</v>
      </c>
      <c r="M18" s="15" t="str">
        <f>=Dashboard!O56</f>
        <v>Pending</v>
      </c>
      <c r="N18" s="9" t="str">
        <f>=Dashboard!Q56</f>
        <v>Enforces strict Admin role checks</v>
      </c>
      <c r="O18" s="39">
        <v>46192</v>
      </c>
    </row>
    <row r="19" spans="1:15" x14ac:dyDescent="0.25">
      <c r="A19" s="13" t="str">
        <f>=Dashboard!A57</f>
        <v>TASK-BE-017</v>
      </c>
      <c r="B19" s="6" t="str">
        <f>=Dashboard!C57</f>
        <v>Notification APIs</v>
      </c>
      <c r="C19" s="6" t="str">
        <f>=Dashboard!D57</f>
        <v>Muhammad Sanish</v>
      </c>
      <c r="D19" s="13" t="str">
        <f>=Dashboard!E57</f>
        <v>Medium</v>
      </c>
      <c r="E19" s="13" t="str">
        <f>=Dashboard!F57</f>
        <v>Not Started</v>
      </c>
      <c r="F19" s="13" t="str">
        <f>=Dashboard!H57</f>
        <v>Day 5</v>
      </c>
      <c r="G19" s="13" t="str">
        <f>=Dashboard!I57</f>
        <v>TASK-BE-001</v>
      </c>
      <c r="H19" s="6" t="s">
        <v>349</v>
      </c>
      <c r="I19" s="6" t="s">
        <v>350</v>
      </c>
      <c r="J19" s="6" t="s">
        <v>319</v>
      </c>
      <c r="K19" s="6" t="s">
        <v>351</v>
      </c>
      <c r="L19" s="6" t="s">
        <v>243</v>
      </c>
      <c r="M19" s="13" t="str">
        <f>=Dashboard!O57</f>
        <v>Pending</v>
      </c>
      <c r="N19" s="6" t="str">
        <f>=Dashboard!Q57</f>
        <v>System alert logs generation</v>
      </c>
      <c r="O19" s="38">
        <v>46192</v>
      </c>
    </row>
    <row r="20" spans="1:15" x14ac:dyDescent="0.25">
      <c r="A20" s="15" t="str">
        <f>=Dashboard!A58</f>
        <v>TASK-BE-018</v>
      </c>
      <c r="B20" s="9" t="str">
        <f>=Dashboard!C58</f>
        <v>Rate limiting</v>
      </c>
      <c r="C20" s="9" t="str">
        <f>=Dashboard!D58</f>
        <v>Muhammad Sanish</v>
      </c>
      <c r="D20" s="15" t="str">
        <f>=Dashboard!E58</f>
        <v>High</v>
      </c>
      <c r="E20" s="15" t="str">
        <f>=Dashboard!F58</f>
        <v>Not Started</v>
      </c>
      <c r="F20" s="15" t="str">
        <f>=Dashboard!H58</f>
        <v>Day 1</v>
      </c>
      <c r="G20" s="15" t="str">
        <f>=Dashboard!I58</f>
        <v>TASK-BE-001</v>
      </c>
      <c r="H20" s="9" t="s">
        <v>355</v>
      </c>
      <c r="I20" s="9" t="s">
        <v>356</v>
      </c>
      <c r="J20" s="9" t="s">
        <v>357</v>
      </c>
      <c r="K20" s="9" t="s">
        <v>358</v>
      </c>
      <c r="L20" s="9" t="s">
        <v>243</v>
      </c>
      <c r="M20" s="15" t="str">
        <f>=Dashboard!O58</f>
        <v>Pending</v>
      </c>
      <c r="N20" s="9" t="str">
        <f>=Dashboard!Q58</f>
        <v>Prevents brute force attempts</v>
      </c>
      <c r="O20" s="39">
        <v>46192</v>
      </c>
    </row>
    <row r="21" spans="1:15" x14ac:dyDescent="0.25">
      <c r="A21" s="13" t="str">
        <f>=Dashboard!A59</f>
        <v>TASK-BE-019</v>
      </c>
      <c r="B21" s="6" t="str">
        <f>=Dashboard!C59</f>
        <v>Health check API</v>
      </c>
      <c r="C21" s="6" t="str">
        <f>=Dashboard!D59</f>
        <v>Muhammad Sanish</v>
      </c>
      <c r="D21" s="13" t="str">
        <f>=Dashboard!E59</f>
        <v>Low</v>
      </c>
      <c r="E21" s="13" t="str">
        <f>=Dashboard!F59</f>
        <v>Not Started</v>
      </c>
      <c r="F21" s="13" t="str">
        <f>=Dashboard!H59</f>
        <v>Day 1</v>
      </c>
      <c r="G21" s="13" t="str">
        <f>=Dashboard!I59</f>
        <v>TASK-BE-001</v>
      </c>
      <c r="H21" s="6" t="s">
        <v>363</v>
      </c>
      <c r="I21" s="6" t="s">
        <v>364</v>
      </c>
      <c r="J21" s="6" t="s">
        <v>365</v>
      </c>
      <c r="K21" s="6" t="s">
        <v>366</v>
      </c>
      <c r="L21" s="6" t="s">
        <v>243</v>
      </c>
      <c r="M21" s="13" t="str">
        <f>=Dashboard!O59</f>
        <v>Pending</v>
      </c>
      <c r="N21" s="6" t="str">
        <f>=Dashboard!Q59</f>
        <v>Returns DB status and memory limits details</v>
      </c>
      <c r="O21" s="38">
        <v>46192</v>
      </c>
    </row>
    <row r="22" spans="1:15" x14ac:dyDescent="0.25">
      <c r="A22" s="15" t="str">
        <f>=Dashboard!A60</f>
        <v>TASK-BE-020</v>
      </c>
      <c r="B22" s="9" t="str">
        <f>=Dashboard!C60</f>
        <v>API documentation</v>
      </c>
      <c r="C22" s="9" t="str">
        <f>=Dashboard!D60</f>
        <v>Muhammad Sanish</v>
      </c>
      <c r="D22" s="15" t="str">
        <f>=Dashboard!E60</f>
        <v>Medium</v>
      </c>
      <c r="E22" s="15" t="str">
        <f>=Dashboard!F60</f>
        <v>Not Started</v>
      </c>
      <c r="F22" s="15" t="str">
        <f>=Dashboard!H60</f>
        <v>Day 5</v>
      </c>
      <c r="G22" s="15" t="str">
        <f>=Dashboard!I60</f>
        <v>TASK-BE-001</v>
      </c>
      <c r="H22" s="9" t="s">
        <v>370</v>
      </c>
      <c r="I22" s="9" t="s">
        <v>371</v>
      </c>
      <c r="J22" s="9" t="s">
        <v>372</v>
      </c>
      <c r="K22" s="9" t="s">
        <v>373</v>
      </c>
      <c r="L22" s="9" t="s">
        <v>243</v>
      </c>
      <c r="M22" s="15" t="str">
        <f>=Dashboard!O60</f>
        <v>Pending</v>
      </c>
      <c r="N22" s="9" t="str">
        <f>=Dashboard!Q60</f>
        <v>Complete document of schema request bodies</v>
      </c>
      <c r="O22" s="39">
        <v>46192</v>
      </c>
    </row>
  </sheetData>
  <autoFilter ref="A2:O22"/>
  <mergeCells count="1">
    <mergeCell ref="A1:O1"/>
  </mergeCells>
  <conditionalFormatting sqref="E3:E22">
    <cfRule type="cellIs" dxfId="81" priority="1" operator="equal">
      <formula>"Completed"</formula>
    </cfRule>
    <cfRule type="cellIs" dxfId="82" priority="2" operator="equal">
      <formula>"In Progress"</formula>
    </cfRule>
    <cfRule type="cellIs" dxfId="83" priority="3" operator="equal">
      <formula>"Review"</formula>
    </cfRule>
    <cfRule type="cellIs" dxfId="84" priority="4" operator="equal">
      <formula>"Blocked"</formula>
    </cfRule>
    <cfRule type="cellIs" dxfId="85" priority="5" operator="equal">
      <formula>"Not Started"</formula>
    </cfRule>
  </conditionalFormatting>
  <conditionalFormatting sqref="D3:D22">
    <cfRule type="cellIs" dxfId="86" priority="6" operator="equal">
      <formula>"Critical"</formula>
    </cfRule>
    <cfRule type="cellIs" dxfId="87" priority="7" operator="equal">
      <formula>"High"</formula>
    </cfRule>
    <cfRule type="cellIs" dxfId="88" priority="8" operator="equal">
      <formula>"Medium"</formula>
    </cfRule>
    <cfRule type="cellIs" dxfId="89" priority="9" operator="equal">
      <formula>"Low"</formula>
    </cfRule>
  </conditionalFormatting>
  <dataValidations count="4">
    <dataValidation type="list" allowBlank="1" sqref="D10:D22">
      <formula1>"Critical,High,Medium,Low"</formula1>
    </dataValidation>
    <dataValidation type="list" allowBlank="1" sqref="D3:D22">
      <formula1>"Critical,High,Medium,Low"</formula1>
    </dataValidation>
    <dataValidation type="list" allowBlank="1" sqref="E10:E22">
      <formula1>"Not Started,In Progress,Review,Completed,Blocked"</formula1>
    </dataValidation>
    <dataValidation type="list" allowBlank="1" sqref="E3:E22">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759</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=Dashboard!A61</f>
        <v>TASK-FE-001</v>
      </c>
      <c r="B3" s="6" t="str">
        <f>=Dashboard!C61</f>
        <v>React project setup</v>
      </c>
      <c r="C3" s="6" t="str">
        <f>=Dashboard!D61</f>
        <v>Adithyan N</v>
      </c>
      <c r="D3" s="13" t="str">
        <f>=Dashboard!E61</f>
        <v>High</v>
      </c>
      <c r="E3" s="13" t="str">
        <f>=Dashboard!F61</f>
        <v>Not Started</v>
      </c>
      <c r="F3" s="13" t="str">
        <f>=Dashboard!H61</f>
        <v>Day 1</v>
      </c>
      <c r="G3" s="13" t="str">
        <f>=Dashboard!I61</f>
        <v>None</v>
      </c>
      <c r="H3" s="6" t="s">
        <v>377</v>
      </c>
      <c r="I3" s="6" t="s">
        <v>378</v>
      </c>
      <c r="J3" s="6" t="s">
        <v>379</v>
      </c>
      <c r="K3" s="6" t="s">
        <v>380</v>
      </c>
      <c r="L3" s="6" t="s">
        <v>381</v>
      </c>
      <c r="M3" s="13" t="str">
        <f>=Dashboard!O61</f>
        <v>Pending</v>
      </c>
      <c r="N3" s="6" t="str">
        <f>=Dashboard!Q61</f>
        <v>Project workspace initialized</v>
      </c>
      <c r="O3" s="38">
        <v>46192</v>
      </c>
    </row>
    <row r="4" spans="1:15" x14ac:dyDescent="0.25">
      <c r="A4" s="15" t="str">
        <f>=Dashboard!A62</f>
        <v>TASK-FE-002</v>
      </c>
      <c r="B4" s="9" t="str">
        <f>=Dashboard!C62</f>
        <v>Tailwind setup</v>
      </c>
      <c r="C4" s="9" t="str">
        <f>=Dashboard!D62</f>
        <v>Adithyan N</v>
      </c>
      <c r="D4" s="15" t="str">
        <f>=Dashboard!E62</f>
        <v>High</v>
      </c>
      <c r="E4" s="15" t="str">
        <f>=Dashboard!F62</f>
        <v>Not Started</v>
      </c>
      <c r="F4" s="15" t="str">
        <f>=Dashboard!H62</f>
        <v>Day 1</v>
      </c>
      <c r="G4" s="15" t="str">
        <f>=Dashboard!I62</f>
        <v>TASK-FE-001</v>
      </c>
      <c r="H4" s="9" t="s">
        <v>385</v>
      </c>
      <c r="I4" s="9" t="s">
        <v>386</v>
      </c>
      <c r="J4" s="9" t="s">
        <v>387</v>
      </c>
      <c r="K4" s="9" t="s">
        <v>388</v>
      </c>
      <c r="L4" s="9" t="s">
        <v>381</v>
      </c>
      <c r="M4" s="15" t="str">
        <f>=Dashboard!O62</f>
        <v>Pending</v>
      </c>
      <c r="N4" s="9" t="str">
        <f>=Dashboard!Q62</f>
        <v>Custom theme color palettes mapped</v>
      </c>
      <c r="O4" s="39">
        <v>46192</v>
      </c>
    </row>
    <row r="5" spans="1:15" x14ac:dyDescent="0.25">
      <c r="A5" s="13" t="str">
        <f>=Dashboard!A63</f>
        <v>TASK-FE-003</v>
      </c>
      <c r="B5" s="6" t="str">
        <f>=Dashboard!C63</f>
        <v>Folder structure</v>
      </c>
      <c r="C5" s="6" t="str">
        <f>=Dashboard!D63</f>
        <v>Adithyan N</v>
      </c>
      <c r="D5" s="13" t="str">
        <f>=Dashboard!E63</f>
        <v>Medium</v>
      </c>
      <c r="E5" s="13" t="str">
        <f>=Dashboard!F63</f>
        <v>Not Started</v>
      </c>
      <c r="F5" s="13" t="str">
        <f>=Dashboard!H63</f>
        <v>Day 1</v>
      </c>
      <c r="G5" s="13" t="str">
        <f>=Dashboard!I63</f>
        <v>TASK-FE-001</v>
      </c>
      <c r="H5" s="6" t="s">
        <v>392</v>
      </c>
      <c r="I5" s="6" t="s">
        <v>393</v>
      </c>
      <c r="J5" s="6" t="s">
        <v>394</v>
      </c>
      <c r="K5" s="6" t="s">
        <v>395</v>
      </c>
      <c r="L5" s="6" t="s">
        <v>381</v>
      </c>
      <c r="M5" s="13" t="str">
        <f>=Dashboard!O63</f>
        <v>Pending</v>
      </c>
      <c r="N5" s="6" t="str">
        <f>=Dashboard!Q63</f>
        <v>Standard clean coding layout</v>
      </c>
      <c r="O5" s="38">
        <v>46192</v>
      </c>
    </row>
    <row r="6" spans="1:15" x14ac:dyDescent="0.25">
      <c r="A6" s="15" t="str">
        <f>=Dashboard!A64</f>
        <v>TASK-FE-004</v>
      </c>
      <c r="B6" s="9" t="str">
        <f>=Dashboard!C64</f>
        <v>Global layout</v>
      </c>
      <c r="C6" s="9" t="str">
        <f>=Dashboard!D64</f>
        <v>Adithyan N</v>
      </c>
      <c r="D6" s="15" t="str">
        <f>=Dashboard!E64</f>
        <v>High</v>
      </c>
      <c r="E6" s="15" t="str">
        <f>=Dashboard!F64</f>
        <v>Not Started</v>
      </c>
      <c r="F6" s="15" t="str">
        <f>=Dashboard!H64</f>
        <v>Day 1</v>
      </c>
      <c r="G6" s="15" t="str">
        <f>=Dashboard!I64</f>
        <v>TASK-FE-003</v>
      </c>
      <c r="H6" s="9" t="s">
        <v>399</v>
      </c>
      <c r="I6" s="9" t="s">
        <v>400</v>
      </c>
      <c r="J6" s="9" t="s">
        <v>401</v>
      </c>
      <c r="K6" s="9" t="s">
        <v>402</v>
      </c>
      <c r="L6" s="9" t="s">
        <v>381</v>
      </c>
      <c r="M6" s="15" t="str">
        <f>=Dashboard!O64</f>
        <v>Pending</v>
      </c>
      <c r="N6" s="9" t="str">
        <f>=Dashboard!Q64</f>
        <v>Mobile responsive shell layout</v>
      </c>
      <c r="O6" s="39">
        <v>46192</v>
      </c>
    </row>
    <row r="7" spans="1:15" x14ac:dyDescent="0.25">
      <c r="A7" s="13" t="str">
        <f>=Dashboard!A65</f>
        <v>TASK-FE-005</v>
      </c>
      <c r="B7" s="6" t="str">
        <f>=Dashboard!C65</f>
        <v>Routing</v>
      </c>
      <c r="C7" s="6" t="str">
        <f>=Dashboard!D65</f>
        <v>Adithyan N</v>
      </c>
      <c r="D7" s="13" t="str">
        <f>=Dashboard!E65</f>
        <v>High</v>
      </c>
      <c r="E7" s="13" t="str">
        <f>=Dashboard!F65</f>
        <v>Not Started</v>
      </c>
      <c r="F7" s="13" t="str">
        <f>=Dashboard!H65</f>
        <v>Day 1</v>
      </c>
      <c r="G7" s="13" t="str">
        <f>=Dashboard!I65</f>
        <v>TASK-FE-001</v>
      </c>
      <c r="H7" s="6" t="s">
        <v>406</v>
      </c>
      <c r="I7" s="6" t="s">
        <v>407</v>
      </c>
      <c r="J7" s="6" t="s">
        <v>408</v>
      </c>
      <c r="K7" s="6" t="s">
        <v>409</v>
      </c>
      <c r="L7" s="6" t="s">
        <v>381</v>
      </c>
      <c r="M7" s="13" t="str">
        <f>=Dashboard!O65</f>
        <v>Pending</v>
      </c>
      <c r="N7" s="6" t="str">
        <f>=Dashboard!Q65</f>
        <v>URL router structure finalized</v>
      </c>
      <c r="O7" s="38">
        <v>46192</v>
      </c>
    </row>
    <row r="8" spans="1:15" x14ac:dyDescent="0.25">
      <c r="A8" s="15" t="str">
        <f>=Dashboard!A66</f>
        <v>TASK-FE-006</v>
      </c>
      <c r="B8" s="9" t="str">
        <f>=Dashboard!C66</f>
        <v>Protected routes</v>
      </c>
      <c r="C8" s="9" t="str">
        <f>=Dashboard!D66</f>
        <v>Adithyan N</v>
      </c>
      <c r="D8" s="15" t="str">
        <f>=Dashboard!E66</f>
        <v>High</v>
      </c>
      <c r="E8" s="15" t="str">
        <f>=Dashboard!F66</f>
        <v>Not Started</v>
      </c>
      <c r="F8" s="15" t="str">
        <f>=Dashboard!H66</f>
        <v>Day 1</v>
      </c>
      <c r="G8" s="15" t="str">
        <f>=Dashboard!I66</f>
        <v>TASK-FE-005</v>
      </c>
      <c r="H8" s="9" t="s">
        <v>413</v>
      </c>
      <c r="I8" s="9" t="s">
        <v>414</v>
      </c>
      <c r="J8" s="9" t="s">
        <v>415</v>
      </c>
      <c r="K8" s="9" t="s">
        <v>416</v>
      </c>
      <c r="L8" s="9" t="s">
        <v>381</v>
      </c>
      <c r="M8" s="15" t="str">
        <f>=Dashboard!O66</f>
        <v>Pending</v>
      </c>
      <c r="N8" s="9" t="str">
        <f>=Dashboard!Q66</f>
        <v>Redirects guest to login page</v>
      </c>
      <c r="O8" s="39">
        <v>46192</v>
      </c>
    </row>
    <row r="9" spans="1:15" x14ac:dyDescent="0.25">
      <c r="A9" s="13" t="str">
        <f>=Dashboard!A67</f>
        <v>TASK-FE-007</v>
      </c>
      <c r="B9" s="6" t="str">
        <f>=Dashboard!C67</f>
        <v>Axios client</v>
      </c>
      <c r="C9" s="6" t="str">
        <f>=Dashboard!D67</f>
        <v>Adithyan N</v>
      </c>
      <c r="D9" s="13" t="str">
        <f>=Dashboard!E67</f>
        <v>High</v>
      </c>
      <c r="E9" s="13" t="str">
        <f>=Dashboard!F67</f>
        <v>Not Started</v>
      </c>
      <c r="F9" s="13" t="str">
        <f>=Dashboard!H67</f>
        <v>Day 1</v>
      </c>
      <c r="G9" s="13" t="str">
        <f>=Dashboard!I67</f>
        <v>None</v>
      </c>
      <c r="H9" s="6" t="s">
        <v>420</v>
      </c>
      <c r="I9" s="6" t="s">
        <v>421</v>
      </c>
      <c r="J9" s="6" t="s">
        <v>422</v>
      </c>
      <c r="K9" s="6" t="s">
        <v>423</v>
      </c>
      <c r="L9" s="6" t="s">
        <v>381</v>
      </c>
      <c r="M9" s="13" t="str">
        <f>=Dashboard!O67</f>
        <v>Pending</v>
      </c>
      <c r="N9" s="6" t="str">
        <f>=Dashboard!Q67</f>
        <v>Base configuration templates</v>
      </c>
      <c r="O9" s="38">
        <v>46192</v>
      </c>
    </row>
    <row r="10" spans="1:15" x14ac:dyDescent="0.25">
      <c r="A10" s="15" t="str">
        <f>=Dashboard!A68</f>
        <v>TASK-FE-008</v>
      </c>
      <c r="B10" s="9" t="str">
        <f>=Dashboard!C68</f>
        <v>API interceptors</v>
      </c>
      <c r="C10" s="9" t="str">
        <f>=Dashboard!D68</f>
        <v>Adithyan N</v>
      </c>
      <c r="D10" s="15" t="str">
        <f>=Dashboard!E68</f>
        <v>High</v>
      </c>
      <c r="E10" s="15" t="str">
        <f>=Dashboard!F68</f>
        <v>Not Started</v>
      </c>
      <c r="F10" s="15" t="str">
        <f>=Dashboard!H68</f>
        <v>Day 1</v>
      </c>
      <c r="G10" s="15" t="str">
        <f>=Dashboard!I68</f>
        <v>TASK-FE-007</v>
      </c>
      <c r="H10" s="9" t="s">
        <v>427</v>
      </c>
      <c r="I10" s="9" t="s">
        <v>428</v>
      </c>
      <c r="J10" s="9" t="s">
        <v>429</v>
      </c>
      <c r="K10" s="9" t="s">
        <v>430</v>
      </c>
      <c r="L10" s="9" t="s">
        <v>381</v>
      </c>
      <c r="M10" s="15" t="str">
        <f>=Dashboard!O68</f>
        <v>Pending</v>
      </c>
      <c r="N10" s="9" t="str">
        <f>=Dashboard!Q68</f>
        <v>Auto attaches auth tokens to headers</v>
      </c>
      <c r="O10" s="39">
        <v>46192</v>
      </c>
    </row>
    <row r="11" spans="1:15" x14ac:dyDescent="0.25">
      <c r="A11" s="13" t="str">
        <f>=Dashboard!A69</f>
        <v>TASK-FE-009</v>
      </c>
      <c r="B11" s="6" t="str">
        <f>=Dashboard!C69</f>
        <v>Authentication pages</v>
      </c>
      <c r="C11" s="6" t="str">
        <f>=Dashboard!D69</f>
        <v>Adithyan N</v>
      </c>
      <c r="D11" s="13" t="str">
        <f>=Dashboard!E69</f>
        <v>High</v>
      </c>
      <c r="E11" s="13" t="str">
        <f>=Dashboard!F69</f>
        <v>Not Started</v>
      </c>
      <c r="F11" s="13" t="str">
        <f>=Dashboard!H69</f>
        <v>Day 2</v>
      </c>
      <c r="G11" s="13" t="str">
        <f>=Dashboard!I69</f>
        <v>TASK-FE-006</v>
      </c>
      <c r="H11" s="6" t="s">
        <v>434</v>
      </c>
      <c r="I11" s="6" t="s">
        <v>435</v>
      </c>
      <c r="J11" s="6" t="s">
        <v>436</v>
      </c>
      <c r="K11" s="6" t="s">
        <v>437</v>
      </c>
      <c r="L11" s="6" t="s">
        <v>381</v>
      </c>
      <c r="M11" s="13" t="str">
        <f>=Dashboard!O69</f>
        <v>Pending</v>
      </c>
      <c r="N11" s="6" t="str">
        <f>=Dashboard!Q69</f>
        <v>Client side input validation rules active</v>
      </c>
      <c r="O11" s="38">
        <v>46192</v>
      </c>
    </row>
    <row r="12" spans="1:15" x14ac:dyDescent="0.25">
      <c r="A12" s="15" t="str">
        <f>=Dashboard!A70</f>
        <v>TASK-FE-010</v>
      </c>
      <c r="B12" s="9" t="str">
        <f>=Dashboard!C70</f>
        <v>Citizen Dashboard</v>
      </c>
      <c r="C12" s="9" t="str">
        <f>=Dashboard!D70</f>
        <v>Adithyan N</v>
      </c>
      <c r="D12" s="15" t="str">
        <f>=Dashboard!E70</f>
        <v>High</v>
      </c>
      <c r="E12" s="15" t="str">
        <f>=Dashboard!F70</f>
        <v>Not Started</v>
      </c>
      <c r="F12" s="15" t="str">
        <f>=Dashboard!H70</f>
        <v>Day 2</v>
      </c>
      <c r="G12" s="15" t="str">
        <f>=Dashboard!I70</f>
        <v>TASK-FE-006</v>
      </c>
      <c r="H12" s="9" t="s">
        <v>441</v>
      </c>
      <c r="I12" s="9" t="s">
        <v>442</v>
      </c>
      <c r="J12" s="9" t="s">
        <v>443</v>
      </c>
      <c r="K12" s="9" t="s">
        <v>444</v>
      </c>
      <c r="L12" s="9" t="s">
        <v>381</v>
      </c>
      <c r="M12" s="15" t="str">
        <f>=Dashboard!O70</f>
        <v>Pending</v>
      </c>
      <c r="N12" s="9" t="str">
        <f>=Dashboard!Q70</f>
        <v>Overview dashboard for citizen portals</v>
      </c>
      <c r="O12" s="39">
        <v>46192</v>
      </c>
    </row>
    <row r="13" spans="1:15" x14ac:dyDescent="0.25">
      <c r="A13" s="13" t="str">
        <f>=Dashboard!A71</f>
        <v>TASK-FE-011</v>
      </c>
      <c r="B13" s="6" t="str">
        <f>=Dashboard!C71</f>
        <v>Complaint Management UI</v>
      </c>
      <c r="C13" s="6" t="str">
        <f>=Dashboard!D71</f>
        <v>Adithyan N</v>
      </c>
      <c r="D13" s="13" t="str">
        <f>=Dashboard!E71</f>
        <v>High</v>
      </c>
      <c r="E13" s="13" t="str">
        <f>=Dashboard!F71</f>
        <v>Not Started</v>
      </c>
      <c r="F13" s="13" t="str">
        <f>=Dashboard!H71</f>
        <v>Day 2</v>
      </c>
      <c r="G13" s="13" t="str">
        <f>=Dashboard!I71</f>
        <v>TASK-FE-010</v>
      </c>
      <c r="H13" s="6" t="s">
        <v>448</v>
      </c>
      <c r="I13" s="6" t="s">
        <v>449</v>
      </c>
      <c r="J13" s="6" t="s">
        <v>450</v>
      </c>
      <c r="K13" s="6" t="s">
        <v>451</v>
      </c>
      <c r="L13" s="6" t="s">
        <v>381</v>
      </c>
      <c r="M13" s="13" t="str">
        <f>=Dashboard!O71</f>
        <v>Pending</v>
      </c>
      <c r="N13" s="6" t="str">
        <f>=Dashboard!Q71</f>
        <v>File type constraints validated</v>
      </c>
      <c r="O13" s="38">
        <v>46192</v>
      </c>
    </row>
    <row r="14" spans="1:15" x14ac:dyDescent="0.25">
      <c r="A14" s="15" t="str">
        <f>=Dashboard!A72</f>
        <v>TASK-FE-012</v>
      </c>
      <c r="B14" s="9" t="str">
        <f>=Dashboard!C72</f>
        <v>File Tracking UI</v>
      </c>
      <c r="C14" s="9" t="str">
        <f>=Dashboard!D72</f>
        <v>Adithyan N</v>
      </c>
      <c r="D14" s="15" t="str">
        <f>=Dashboard!E72</f>
        <v>Medium</v>
      </c>
      <c r="E14" s="15" t="str">
        <f>=Dashboard!F72</f>
        <v>Not Started</v>
      </c>
      <c r="F14" s="15" t="str">
        <f>=Dashboard!H72</f>
        <v>Day 3</v>
      </c>
      <c r="G14" s="15" t="str">
        <f>=Dashboard!I72</f>
        <v>TASK-FE-008</v>
      </c>
      <c r="H14" s="9" t="s">
        <v>455</v>
      </c>
      <c r="I14" s="9" t="s">
        <v>456</v>
      </c>
      <c r="J14" s="9" t="s">
        <v>457</v>
      </c>
      <c r="K14" s="9" t="s">
        <v>458</v>
      </c>
      <c r="L14" s="9" t="s">
        <v>381</v>
      </c>
      <c r="M14" s="15" t="str">
        <f>=Dashboard!O72</f>
        <v>Pending</v>
      </c>
      <c r="N14" s="9" t="str">
        <f>=Dashboard!Q72</f>
        <v>Visual timeline progress trackers</v>
      </c>
      <c r="O14" s="39">
        <v>46192</v>
      </c>
    </row>
    <row r="15" spans="1:15" x14ac:dyDescent="0.25">
      <c r="A15" s="13" t="str">
        <f>=Dashboard!A73</f>
        <v>TASK-FE-013</v>
      </c>
      <c r="B15" s="6" t="str">
        <f>=Dashboard!C73</f>
        <v>Feedback UI</v>
      </c>
      <c r="C15" s="6" t="str">
        <f>=Dashboard!D73</f>
        <v>Adithyan N</v>
      </c>
      <c r="D15" s="13" t="str">
        <f>=Dashboard!E73</f>
        <v>Medium</v>
      </c>
      <c r="E15" s="13" t="str">
        <f>=Dashboard!F73</f>
        <v>Not Started</v>
      </c>
      <c r="F15" s="13" t="str">
        <f>=Dashboard!H73</f>
        <v>Day 3</v>
      </c>
      <c r="G15" s="13" t="str">
        <f>=Dashboard!I73</f>
        <v>TASK-FE-011</v>
      </c>
      <c r="H15" s="6" t="s">
        <v>462</v>
      </c>
      <c r="I15" s="6" t="s">
        <v>463</v>
      </c>
      <c r="J15" s="6" t="s">
        <v>464</v>
      </c>
      <c r="K15" s="6" t="s">
        <v>465</v>
      </c>
      <c r="L15" s="6" t="s">
        <v>381</v>
      </c>
      <c r="M15" s="13" t="str">
        <f>=Dashboard!O73</f>
        <v>Pending</v>
      </c>
      <c r="N15" s="6" t="str">
        <f>=Dashboard!Q73</f>
        <v>1-to-5 star feedback rating</v>
      </c>
      <c r="O15" s="38">
        <v>46192</v>
      </c>
    </row>
    <row r="16" spans="1:15" x14ac:dyDescent="0.25">
      <c r="A16" s="15" t="str">
        <f>=Dashboard!A74</f>
        <v>TASK-FE-014</v>
      </c>
      <c r="B16" s="9" t="str">
        <f>=Dashboard!C74</f>
        <v>Staff Dashboard UI</v>
      </c>
      <c r="C16" s="9" t="str">
        <f>=Dashboard!D74</f>
        <v>Adithyan N</v>
      </c>
      <c r="D16" s="15" t="str">
        <f>=Dashboard!E74</f>
        <v>High</v>
      </c>
      <c r="E16" s="15" t="str">
        <f>=Dashboard!F74</f>
        <v>Not Started</v>
      </c>
      <c r="F16" s="15" t="str">
        <f>=Dashboard!H74</f>
        <v>Day 4</v>
      </c>
      <c r="G16" s="15" t="str">
        <f>=Dashboard!I74</f>
        <v>TASK-FE-006</v>
      </c>
      <c r="H16" s="9" t="s">
        <v>469</v>
      </c>
      <c r="I16" s="9" t="s">
        <v>470</v>
      </c>
      <c r="J16" s="9" t="s">
        <v>471</v>
      </c>
      <c r="K16" s="9" t="s">
        <v>472</v>
      </c>
      <c r="L16" s="9" t="s">
        <v>381</v>
      </c>
      <c r="M16" s="15" t="str">
        <f>=Dashboard!O74</f>
        <v>Pending</v>
      </c>
      <c r="N16" s="9" t="str">
        <f>=Dashboard!Q74</f>
        <v>Workspace console for employees</v>
      </c>
      <c r="O16" s="39">
        <v>46192</v>
      </c>
    </row>
    <row r="17" spans="1:15" x14ac:dyDescent="0.25">
      <c r="A17" s="13" t="str">
        <f>=Dashboard!A75</f>
        <v>TASK-FE-015</v>
      </c>
      <c r="B17" s="6" t="str">
        <f>=Dashboard!C75</f>
        <v>Attendance UI</v>
      </c>
      <c r="C17" s="6" t="str">
        <f>=Dashboard!D75</f>
        <v>Adithyan N</v>
      </c>
      <c r="D17" s="13" t="str">
        <f>=Dashboard!E75</f>
        <v>High</v>
      </c>
      <c r="E17" s="13" t="str">
        <f>=Dashboard!F75</f>
        <v>Not Started</v>
      </c>
      <c r="F17" s="13" t="str">
        <f>=Dashboard!H75</f>
        <v>Day 4</v>
      </c>
      <c r="G17" s="13" t="str">
        <f>=Dashboard!I75</f>
        <v>TASK-FE-014</v>
      </c>
      <c r="H17" s="6" t="s">
        <v>476</v>
      </c>
      <c r="I17" s="6" t="s">
        <v>477</v>
      </c>
      <c r="J17" s="6" t="s">
        <v>478</v>
      </c>
      <c r="K17" s="6" t="s">
        <v>479</v>
      </c>
      <c r="L17" s="6" t="s">
        <v>381</v>
      </c>
      <c r="M17" s="13" t="str">
        <f>=Dashboard!O75</f>
        <v>Pending</v>
      </c>
      <c r="N17" s="6" t="str">
        <f>=Dashboard!Q75</f>
        <v>Liveness prompt overlay layout</v>
      </c>
      <c r="O17" s="38">
        <v>46192</v>
      </c>
    </row>
    <row r="18" spans="1:15" x14ac:dyDescent="0.25">
      <c r="A18" s="15" t="str">
        <f>=Dashboard!A76</f>
        <v>TASK-FE-016</v>
      </c>
      <c r="B18" s="9" t="str">
        <f>=Dashboard!C76</f>
        <v>Chatbot UI</v>
      </c>
      <c r="C18" s="9" t="str">
        <f>=Dashboard!D76</f>
        <v>Adithyan N</v>
      </c>
      <c r="D18" s="15" t="str">
        <f>=Dashboard!E76</f>
        <v>Medium</v>
      </c>
      <c r="E18" s="15" t="str">
        <f>=Dashboard!F76</f>
        <v>Not Started</v>
      </c>
      <c r="F18" s="15" t="str">
        <f>=Dashboard!H76</f>
        <v>Day 4</v>
      </c>
      <c r="G18" s="15" t="str">
        <f>=Dashboard!I76</f>
        <v>TASK-FE-008</v>
      </c>
      <c r="H18" s="9" t="s">
        <v>483</v>
      </c>
      <c r="I18" s="9" t="s">
        <v>484</v>
      </c>
      <c r="J18" s="9" t="s">
        <v>485</v>
      </c>
      <c r="K18" s="9" t="s">
        <v>486</v>
      </c>
      <c r="L18" s="9" t="s">
        <v>381</v>
      </c>
      <c r="M18" s="15" t="str">
        <f>=Dashboard!O76</f>
        <v>Pending</v>
      </c>
      <c r="N18" s="9" t="str">
        <f>=Dashboard!Q76</f>
        <v>Gemini assistant layout UI</v>
      </c>
      <c r="O18" s="39">
        <v>46192</v>
      </c>
    </row>
    <row r="19" spans="1:15" x14ac:dyDescent="0.25">
      <c r="A19" s="13" t="str">
        <f>=Dashboard!A77</f>
        <v>TASK-FE-017</v>
      </c>
      <c r="B19" s="6" t="str">
        <f>=Dashboard!C77</f>
        <v>Admin Dashboard UI</v>
      </c>
      <c r="C19" s="6" t="str">
        <f>=Dashboard!D77</f>
        <v>Adithyan N</v>
      </c>
      <c r="D19" s="13" t="str">
        <f>=Dashboard!E77</f>
        <v>High</v>
      </c>
      <c r="E19" s="13" t="str">
        <f>=Dashboard!F77</f>
        <v>Not Started</v>
      </c>
      <c r="F19" s="13" t="str">
        <f>=Dashboard!H77</f>
        <v>Day 5</v>
      </c>
      <c r="G19" s="13" t="str">
        <f>=Dashboard!I77</f>
        <v>TASK-FE-006</v>
      </c>
      <c r="H19" s="6" t="s">
        <v>490</v>
      </c>
      <c r="I19" s="6" t="s">
        <v>491</v>
      </c>
      <c r="J19" s="6" t="s">
        <v>492</v>
      </c>
      <c r="K19" s="6" t="s">
        <v>493</v>
      </c>
      <c r="L19" s="6" t="s">
        <v>381</v>
      </c>
      <c r="M19" s="13" t="str">
        <f>=Dashboard!O77</f>
        <v>Pending</v>
      </c>
      <c r="N19" s="6" t="str">
        <f>=Dashboard!Q77</f>
        <v>SLA thresholds controller views</v>
      </c>
      <c r="O19" s="38">
        <v>46192</v>
      </c>
    </row>
    <row r="20" spans="1:15" x14ac:dyDescent="0.25">
      <c r="A20" s="15" t="str">
        <f>=Dashboard!A78</f>
        <v>TASK-FE-018</v>
      </c>
      <c r="B20" s="9" t="str">
        <f>=Dashboard!C78</f>
        <v>Notifications UI</v>
      </c>
      <c r="C20" s="9" t="str">
        <f>=Dashboard!D78</f>
        <v>Adithyan N</v>
      </c>
      <c r="D20" s="15" t="str">
        <f>=Dashboard!E78</f>
        <v>Medium</v>
      </c>
      <c r="E20" s="15" t="str">
        <f>=Dashboard!F78</f>
        <v>Not Started</v>
      </c>
      <c r="F20" s="15" t="str">
        <f>=Dashboard!H78</f>
        <v>Day 5</v>
      </c>
      <c r="G20" s="15" t="str">
        <f>=Dashboard!I78</f>
        <v>TASK-FE-008</v>
      </c>
      <c r="H20" s="9" t="s">
        <v>497</v>
      </c>
      <c r="I20" s="9" t="s">
        <v>498</v>
      </c>
      <c r="J20" s="9" t="s">
        <v>499</v>
      </c>
      <c r="K20" s="9" t="s">
        <v>500</v>
      </c>
      <c r="L20" s="9" t="s">
        <v>381</v>
      </c>
      <c r="M20" s="15" t="str">
        <f>=Dashboard!O78</f>
        <v>Pending</v>
      </c>
      <c r="N20" s="9" t="str">
        <f>=Dashboard!Q78</f>
        <v>Toast popups integrations</v>
      </c>
      <c r="O20" s="39">
        <v>46192</v>
      </c>
    </row>
    <row r="21" spans="1:15" x14ac:dyDescent="0.25">
      <c r="A21" s="13" t="str">
        <f>=Dashboard!A79</f>
        <v>TASK-FE-019</v>
      </c>
      <c r="B21" s="6" t="str">
        <f>=Dashboard!C79</f>
        <v>Reusable Components</v>
      </c>
      <c r="C21" s="6" t="str">
        <f>=Dashboard!D79</f>
        <v>Adithyan N</v>
      </c>
      <c r="D21" s="13" t="str">
        <f>=Dashboard!E79</f>
        <v>Medium</v>
      </c>
      <c r="E21" s="13" t="str">
        <f>=Dashboard!F79</f>
        <v>Not Started</v>
      </c>
      <c r="F21" s="13" t="str">
        <f>=Dashboard!H79</f>
        <v>Day 1</v>
      </c>
      <c r="G21" s="13" t="str">
        <f>=Dashboard!I79</f>
        <v>TASK-FE-002</v>
      </c>
      <c r="H21" s="6" t="s">
        <v>504</v>
      </c>
      <c r="I21" s="6" t="s">
        <v>505</v>
      </c>
      <c r="J21" s="6" t="s">
        <v>506</v>
      </c>
      <c r="K21" s="6" t="s">
        <v>507</v>
      </c>
      <c r="L21" s="6" t="s">
        <v>381</v>
      </c>
      <c r="M21" s="13" t="str">
        <f>=Dashboard!O79</f>
        <v>Pending</v>
      </c>
      <c r="N21" s="6" t="str">
        <f>=Dashboard!Q79</f>
        <v>Common component assets</v>
      </c>
      <c r="O21" s="38">
        <v>46192</v>
      </c>
    </row>
    <row r="22" spans="1:15" x14ac:dyDescent="0.25">
      <c r="A22" s="15" t="str">
        <f>=Dashboard!A80</f>
        <v>TASK-FE-020</v>
      </c>
      <c r="B22" s="9" t="str">
        <f>=Dashboard!C80</f>
        <v>Responsive fixes</v>
      </c>
      <c r="C22" s="9" t="str">
        <f>=Dashboard!D80</f>
        <v>Adithyan N</v>
      </c>
      <c r="D22" s="15" t="str">
        <f>=Dashboard!E80</f>
        <v>Medium</v>
      </c>
      <c r="E22" s="15" t="str">
        <f>=Dashboard!F80</f>
        <v>Not Started</v>
      </c>
      <c r="F22" s="15" t="str">
        <f>=Dashboard!H80</f>
        <v>Day 6</v>
      </c>
      <c r="G22" s="15" t="str">
        <f>=Dashboard!I80</f>
        <v>TASK-FE-004</v>
      </c>
      <c r="H22" s="9" t="s">
        <v>511</v>
      </c>
      <c r="I22" s="9" t="s">
        <v>512</v>
      </c>
      <c r="J22" s="9" t="s">
        <v>513</v>
      </c>
      <c r="K22" s="9" t="s">
        <v>514</v>
      </c>
      <c r="L22" s="9" t="s">
        <v>381</v>
      </c>
      <c r="M22" s="15" t="str">
        <f>=Dashboard!O80</f>
        <v>Pending</v>
      </c>
      <c r="N22" s="9" t="str">
        <f>=Dashboard!Q80</f>
        <v>Fluid grids testing</v>
      </c>
      <c r="O22" s="39">
        <v>46192</v>
      </c>
    </row>
    <row r="23" spans="1:15" x14ac:dyDescent="0.25">
      <c r="A23" s="13" t="str">
        <f>=Dashboard!A81</f>
        <v>TASK-FE-021</v>
      </c>
      <c r="B23" s="6" t="str">
        <f>=Dashboard!C81</f>
        <v>Frontend API integration</v>
      </c>
      <c r="C23" s="6" t="str">
        <f>=Dashboard!D81</f>
        <v>Adithyan N</v>
      </c>
      <c r="D23" s="13" t="str">
        <f>=Dashboard!E81</f>
        <v>High</v>
      </c>
      <c r="E23" s="13" t="str">
        <f>=Dashboard!F81</f>
        <v>Not Started</v>
      </c>
      <c r="F23" s="13" t="str">
        <f>=Dashboard!H81</f>
        <v>Day 5</v>
      </c>
      <c r="G23" s="13" t="str">
        <f>=Dashboard!I81</f>
        <v>TASK-FE-008</v>
      </c>
      <c r="H23" s="6" t="s">
        <v>518</v>
      </c>
      <c r="I23" s="6" t="s">
        <v>519</v>
      </c>
      <c r="J23" s="6" t="s">
        <v>520</v>
      </c>
      <c r="K23" s="6" t="s">
        <v>521</v>
      </c>
      <c r="L23" s="6" t="s">
        <v>381</v>
      </c>
      <c r="M23" s="13" t="str">
        <f>=Dashboard!O81</f>
        <v>Pending</v>
      </c>
      <c r="N23" s="6" t="str">
        <f>=Dashboard!Q81</f>
        <v>Integration mapping verified</v>
      </c>
      <c r="O23" s="38">
        <v>46192</v>
      </c>
    </row>
    <row r="24" spans="1:15" x14ac:dyDescent="0.25">
      <c r="A24" s="15" t="str">
        <f>=Dashboard!A82</f>
        <v>TASK-FE-022</v>
      </c>
      <c r="B24" s="9" t="str">
        <f>=Dashboard!C82</f>
        <v>Error boundaries</v>
      </c>
      <c r="C24" s="9" t="str">
        <f>=Dashboard!D82</f>
        <v>Adithyan N</v>
      </c>
      <c r="D24" s="15" t="str">
        <f>=Dashboard!E82</f>
        <v>Low</v>
      </c>
      <c r="E24" s="15" t="str">
        <f>=Dashboard!F82</f>
        <v>Not Started</v>
      </c>
      <c r="F24" s="15" t="str">
        <f>=Dashboard!H82</f>
        <v>Day 1</v>
      </c>
      <c r="G24" s="15" t="str">
        <f>=Dashboard!I82</f>
        <v>TASK-FE-001</v>
      </c>
      <c r="H24" s="9" t="s">
        <v>525</v>
      </c>
      <c r="I24" s="9" t="s">
        <v>526</v>
      </c>
      <c r="J24" s="9" t="s">
        <v>527</v>
      </c>
      <c r="K24" s="9" t="s">
        <v>528</v>
      </c>
      <c r="L24" s="9" t="s">
        <v>381</v>
      </c>
      <c r="M24" s="15" t="str">
        <f>=Dashboard!O82</f>
        <v>Pending</v>
      </c>
      <c r="N24" s="9" t="str">
        <f>=Dashboard!Q82</f>
        <v>No stack details shown in production UI</v>
      </c>
      <c r="O24" s="39">
        <v>46192</v>
      </c>
    </row>
    <row r="25" spans="1:15" x14ac:dyDescent="0.25">
      <c r="A25" s="13" t="str">
        <f>=Dashboard!A83</f>
        <v>TASK-FE-023</v>
      </c>
      <c r="B25" s="6" t="str">
        <f>=Dashboard!C83</f>
        <v>Loading components</v>
      </c>
      <c r="C25" s="6" t="str">
        <f>=Dashboard!D83</f>
        <v>Adithyan N</v>
      </c>
      <c r="D25" s="13" t="str">
        <f>=Dashboard!E83</f>
        <v>Low</v>
      </c>
      <c r="E25" s="13" t="str">
        <f>=Dashboard!F83</f>
        <v>Not Started</v>
      </c>
      <c r="F25" s="13" t="str">
        <f>=Dashboard!H83</f>
        <v>Day 1</v>
      </c>
      <c r="G25" s="13" t="str">
        <f>=Dashboard!I83</f>
        <v>TASK-FE-001</v>
      </c>
      <c r="H25" s="6" t="s">
        <v>532</v>
      </c>
      <c r="I25" s="6" t="s">
        <v>533</v>
      </c>
      <c r="J25" s="6" t="s">
        <v>534</v>
      </c>
      <c r="K25" s="6" t="s">
        <v>535</v>
      </c>
      <c r="L25" s="6" t="s">
        <v>381</v>
      </c>
      <c r="M25" s="13" t="str">
        <f>=Dashboard!O83</f>
        <v>Pending</v>
      </c>
      <c r="N25" s="6" t="str">
        <f>=Dashboard!Q83</f>
        <v>Visual placeholders setup</v>
      </c>
      <c r="O25" s="38">
        <v>46192</v>
      </c>
    </row>
    <row r="26" spans="1:15" x14ac:dyDescent="0.25">
      <c r="A26" s="15" t="str">
        <f>=Dashboard!A84</f>
        <v>TASK-FE-024</v>
      </c>
      <c r="B26" s="9" t="str">
        <f>=Dashboard!C84</f>
        <v>Final UI testing</v>
      </c>
      <c r="C26" s="9" t="str">
        <f>=Dashboard!D84</f>
        <v>Adithyan N</v>
      </c>
      <c r="D26" s="15" t="str">
        <f>=Dashboard!E84</f>
        <v>High</v>
      </c>
      <c r="E26" s="15" t="str">
        <f>=Dashboard!F84</f>
        <v>Not Started</v>
      </c>
      <c r="F26" s="15" t="str">
        <f>=Dashboard!H84</f>
        <v>Day 7</v>
      </c>
      <c r="G26" s="15" t="str">
        <f>=Dashboard!I84</f>
        <v>TASK-FE-021</v>
      </c>
      <c r="H26" s="9" t="s">
        <v>539</v>
      </c>
      <c r="I26" s="9" t="s">
        <v>540</v>
      </c>
      <c r="J26" s="9" t="s">
        <v>541</v>
      </c>
      <c r="K26" s="9" t="s">
        <v>542</v>
      </c>
      <c r="L26" s="9" t="s">
        <v>381</v>
      </c>
      <c r="M26" s="15" t="str">
        <f>=Dashboard!O84</f>
        <v>Pending</v>
      </c>
      <c r="N26" s="9" t="str">
        <f>=Dashboard!Q84</f>
        <v>UX verification pass signoff</v>
      </c>
      <c r="O26" s="39">
        <v>46192</v>
      </c>
    </row>
  </sheetData>
  <autoFilter ref="A2:O26"/>
  <mergeCells count="1">
    <mergeCell ref="A1:O1"/>
  </mergeCells>
  <conditionalFormatting sqref="E3:E26">
    <cfRule type="cellIs" dxfId="90" priority="1" operator="equal">
      <formula>"Completed"</formula>
    </cfRule>
    <cfRule type="cellIs" dxfId="91" priority="2" operator="equal">
      <formula>"In Progress"</formula>
    </cfRule>
    <cfRule type="cellIs" dxfId="92" priority="3" operator="equal">
      <formula>"Review"</formula>
    </cfRule>
    <cfRule type="cellIs" dxfId="93" priority="4" operator="equal">
      <formula>"Blocked"</formula>
    </cfRule>
    <cfRule type="cellIs" dxfId="94" priority="5" operator="equal">
      <formula>"Not Started"</formula>
    </cfRule>
  </conditionalFormatting>
  <conditionalFormatting sqref="D3:D26">
    <cfRule type="cellIs" dxfId="95" priority="6" operator="equal">
      <formula>"Critical"</formula>
    </cfRule>
    <cfRule type="cellIs" dxfId="96" priority="7" operator="equal">
      <formula>"High"</formula>
    </cfRule>
    <cfRule type="cellIs" dxfId="97" priority="8" operator="equal">
      <formula>"Medium"</formula>
    </cfRule>
    <cfRule type="cellIs" dxfId="98" priority="9" operator="equal">
      <formula>"Low"</formula>
    </cfRule>
  </conditionalFormatting>
  <dataValidations count="4">
    <dataValidation type="list" allowBlank="1" sqref="D10:D26">
      <formula1>"Critical,High,Medium,Low"</formula1>
    </dataValidation>
    <dataValidation type="list" allowBlank="1" sqref="D3:D26">
      <formula1>"Critical,High,Medium,Low"</formula1>
    </dataValidation>
    <dataValidation type="list" allowBlank="1" sqref="E10:E26">
      <formula1>"Not Started,In Progress,Review,Completed,Blocked"</formula1>
    </dataValidation>
    <dataValidation type="list" allowBlank="1" sqref="E3:E26">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760</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=Dashboard!A25</f>
        <v>TASK-DB-001</v>
      </c>
      <c r="B3" s="6" t="str">
        <f>=Dashboard!C25</f>
        <v>User schema</v>
      </c>
      <c r="C3" s="6" t="str">
        <f>=Dashboard!D25</f>
        <v>Fathima Hana</v>
      </c>
      <c r="D3" s="13" t="str">
        <f>=Dashboard!E25</f>
        <v>Critical</v>
      </c>
      <c r="E3" s="13" t="str">
        <f>=Dashboard!F25</f>
        <v>Not Started</v>
      </c>
      <c r="F3" s="13" t="str">
        <f>=Dashboard!H25</f>
        <v>Day 1</v>
      </c>
      <c r="G3" s="13" t="str">
        <f>=Dashboard!I25</f>
        <v>TASK-INF-004</v>
      </c>
      <c r="H3" s="6" t="s">
        <v>137</v>
      </c>
      <c r="I3" s="6" t="s">
        <v>138</v>
      </c>
      <c r="J3" s="6" t="s">
        <v>139</v>
      </c>
      <c r="K3" s="6" t="s">
        <v>140</v>
      </c>
      <c r="L3" s="6" t="s">
        <v>96</v>
      </c>
      <c r="M3" s="13" t="str">
        <f>=Dashboard!O25</f>
        <v>Pending</v>
      </c>
      <c r="N3" s="6" t="str">
        <f>=Dashboard!Q25</f>
        <v>Support: Adithyan N. Unique key bounds active</v>
      </c>
      <c r="O3" s="38">
        <v>46192</v>
      </c>
    </row>
    <row r="4" spans="1:15" x14ac:dyDescent="0.25">
      <c r="A4" s="15" t="str">
        <f>=Dashboard!A26</f>
        <v>TASK-DB-002</v>
      </c>
      <c r="B4" s="9" t="str">
        <f>=Dashboard!C26</f>
        <v>Role schema</v>
      </c>
      <c r="C4" s="9" t="str">
        <f>=Dashboard!D26</f>
        <v>Fathima Hana</v>
      </c>
      <c r="D4" s="15" t="str">
        <f>=Dashboard!E26</f>
        <v>High</v>
      </c>
      <c r="E4" s="15" t="str">
        <f>=Dashboard!F26</f>
        <v>Not Started</v>
      </c>
      <c r="F4" s="15" t="str">
        <f>=Dashboard!H26</f>
        <v>Day 1</v>
      </c>
      <c r="G4" s="15" t="str">
        <f>=Dashboard!I26</f>
        <v>TASK-DB-001</v>
      </c>
      <c r="H4" s="9" t="s">
        <v>144</v>
      </c>
      <c r="I4" s="9" t="s">
        <v>145</v>
      </c>
      <c r="J4" s="9" t="s">
        <v>139</v>
      </c>
      <c r="K4" s="9" t="s">
        <v>146</v>
      </c>
      <c r="L4" s="9" t="s">
        <v>96</v>
      </c>
      <c r="M4" s="15" t="str">
        <f>=Dashboard!O26</f>
        <v>Pending</v>
      </c>
      <c r="N4" s="9" t="str">
        <f>=Dashboard!Q26</f>
        <v>Support: Adithyan N. Predefined roles seeded</v>
      </c>
      <c r="O4" s="39">
        <v>46192</v>
      </c>
    </row>
    <row r="5" spans="1:15" x14ac:dyDescent="0.25">
      <c r="A5" s="13" t="str">
        <f>=Dashboard!A27</f>
        <v>TASK-DB-003</v>
      </c>
      <c r="B5" s="6" t="str">
        <f>=Dashboard!C27</f>
        <v>Permission schema</v>
      </c>
      <c r="C5" s="6" t="str">
        <f>=Dashboard!D27</f>
        <v>Fathima Hana</v>
      </c>
      <c r="D5" s="13" t="str">
        <f>=Dashboard!E27</f>
        <v>High</v>
      </c>
      <c r="E5" s="13" t="str">
        <f>=Dashboard!F27</f>
        <v>Not Started</v>
      </c>
      <c r="F5" s="13" t="str">
        <f>=Dashboard!H27</f>
        <v>Day 1</v>
      </c>
      <c r="G5" s="13" t="str">
        <f>=Dashboard!I27</f>
        <v>TASK-DB-002</v>
      </c>
      <c r="H5" s="6" t="s">
        <v>150</v>
      </c>
      <c r="I5" s="6" t="s">
        <v>151</v>
      </c>
      <c r="J5" s="6" t="s">
        <v>139</v>
      </c>
      <c r="K5" s="6" t="s">
        <v>152</v>
      </c>
      <c r="L5" s="6" t="s">
        <v>96</v>
      </c>
      <c r="M5" s="13" t="str">
        <f>=Dashboard!O27</f>
        <v>Pending</v>
      </c>
      <c r="N5" s="6" t="str">
        <f>=Dashboard!Q27</f>
        <v>Support: Adithyan N. RBAC maps</v>
      </c>
      <c r="O5" s="38">
        <v>46192</v>
      </c>
    </row>
    <row r="6" spans="1:15" x14ac:dyDescent="0.25">
      <c r="A6" s="15" t="str">
        <f>=Dashboard!A28</f>
        <v>TASK-DB-004</v>
      </c>
      <c r="B6" s="9" t="str">
        <f>=Dashboard!C28</f>
        <v>Department schema</v>
      </c>
      <c r="C6" s="9" t="str">
        <f>=Dashboard!D28</f>
        <v>Fathima Hana</v>
      </c>
      <c r="D6" s="15" t="str">
        <f>=Dashboard!E28</f>
        <v>Medium</v>
      </c>
      <c r="E6" s="15" t="str">
        <f>=Dashboard!F28</f>
        <v>Not Started</v>
      </c>
      <c r="F6" s="15" t="str">
        <f>=Dashboard!H28</f>
        <v>Day 1</v>
      </c>
      <c r="G6" s="15" t="str">
        <f>=Dashboard!I28</f>
        <v>TASK-DB-001</v>
      </c>
      <c r="H6" s="9" t="s">
        <v>156</v>
      </c>
      <c r="I6" s="9" t="s">
        <v>157</v>
      </c>
      <c r="J6" s="9" t="s">
        <v>139</v>
      </c>
      <c r="K6" s="9" t="s">
        <v>158</v>
      </c>
      <c r="L6" s="9" t="s">
        <v>96</v>
      </c>
      <c r="M6" s="15" t="str">
        <f>=Dashboard!O28</f>
        <v>Pending</v>
      </c>
      <c r="N6" s="9" t="str">
        <f>=Dashboard!Q28</f>
        <v>Support: Adithyan N. Collection indices</v>
      </c>
      <c r="O6" s="39">
        <v>46192</v>
      </c>
    </row>
    <row r="7" spans="1:15" x14ac:dyDescent="0.25">
      <c r="A7" s="13" t="str">
        <f>=Dashboard!A29</f>
        <v>TASK-DB-005</v>
      </c>
      <c r="B7" s="6" t="str">
        <f>=Dashboard!C29</f>
        <v>Complaint schema</v>
      </c>
      <c r="C7" s="6" t="str">
        <f>=Dashboard!D29</f>
        <v>Fathima Hana</v>
      </c>
      <c r="D7" s="13" t="str">
        <f>=Dashboard!E29</f>
        <v>Critical</v>
      </c>
      <c r="E7" s="13" t="str">
        <f>=Dashboard!F29</f>
        <v>Not Started</v>
      </c>
      <c r="F7" s="13" t="str">
        <f>=Dashboard!H29</f>
        <v>Day 2</v>
      </c>
      <c r="G7" s="13" t="str">
        <f>=Dashboard!I29</f>
        <v>TASK-DB-001</v>
      </c>
      <c r="H7" s="6" t="s">
        <v>162</v>
      </c>
      <c r="I7" s="6" t="s">
        <v>163</v>
      </c>
      <c r="J7" s="6" t="s">
        <v>139</v>
      </c>
      <c r="K7" s="6" t="s">
        <v>164</v>
      </c>
      <c r="L7" s="6" t="s">
        <v>96</v>
      </c>
      <c r="M7" s="13" t="str">
        <f>=Dashboard!O29</f>
        <v>Pending</v>
      </c>
      <c r="N7" s="6" t="str">
        <f>=Dashboard!Q29</f>
        <v>Support: Adithyan N. Handles attachments path strings</v>
      </c>
      <c r="O7" s="38">
        <v>46192</v>
      </c>
    </row>
    <row r="8" spans="1:15" x14ac:dyDescent="0.25">
      <c r="A8" s="15" t="str">
        <f>=Dashboard!A30</f>
        <v>TASK-DB-006</v>
      </c>
      <c r="B8" s="9" t="str">
        <f>=Dashboard!C30</f>
        <v>Complaint assignment schema</v>
      </c>
      <c r="C8" s="9" t="str">
        <f>=Dashboard!D30</f>
        <v>Fathima Hana</v>
      </c>
      <c r="D8" s="15" t="str">
        <f>=Dashboard!E30</f>
        <v>High</v>
      </c>
      <c r="E8" s="15" t="str">
        <f>=Dashboard!F30</f>
        <v>Not Started</v>
      </c>
      <c r="F8" s="15" t="str">
        <f>=Dashboard!H30</f>
        <v>Day 2</v>
      </c>
      <c r="G8" s="15" t="str">
        <f>=Dashboard!I30</f>
        <v>TASK-DB-005</v>
      </c>
      <c r="H8" s="9" t="s">
        <v>169</v>
      </c>
      <c r="I8" s="9" t="s">
        <v>170</v>
      </c>
      <c r="J8" s="9" t="s">
        <v>139</v>
      </c>
      <c r="K8" s="9" t="s">
        <v>171</v>
      </c>
      <c r="L8" s="9" t="s">
        <v>96</v>
      </c>
      <c r="M8" s="15" t="str">
        <f>=Dashboard!O30</f>
        <v>Pending</v>
      </c>
      <c r="N8" s="9" t="str">
        <f>=Dashboard!Q30</f>
        <v>Support: Adithyan N. References user and complaint</v>
      </c>
      <c r="O8" s="39">
        <v>46192</v>
      </c>
    </row>
    <row r="9" spans="1:15" x14ac:dyDescent="0.25">
      <c r="A9" s="13" t="str">
        <f>=Dashboard!A31</f>
        <v>TASK-DB-007</v>
      </c>
      <c r="B9" s="6" t="str">
        <f>=Dashboard!C31</f>
        <v>File tracking schema</v>
      </c>
      <c r="C9" s="6" t="str">
        <f>=Dashboard!D31</f>
        <v>Fathima Hana</v>
      </c>
      <c r="D9" s="13" t="str">
        <f>=Dashboard!E31</f>
        <v>Medium</v>
      </c>
      <c r="E9" s="13" t="str">
        <f>=Dashboard!F31</f>
        <v>Not Started</v>
      </c>
      <c r="F9" s="13" t="str">
        <f>=Dashboard!H31</f>
        <v>Day 3</v>
      </c>
      <c r="G9" s="13" t="str">
        <f>=Dashboard!I31</f>
        <v>TASK-DB-005</v>
      </c>
      <c r="H9" s="6" t="s">
        <v>175</v>
      </c>
      <c r="I9" s="6" t="s">
        <v>176</v>
      </c>
      <c r="J9" s="6" t="s">
        <v>139</v>
      </c>
      <c r="K9" s="6" t="s">
        <v>177</v>
      </c>
      <c r="L9" s="6" t="s">
        <v>96</v>
      </c>
      <c r="M9" s="13" t="str">
        <f>=Dashboard!O31</f>
        <v>Pending</v>
      </c>
      <c r="N9" s="6" t="str">
        <f>=Dashboard!Q31</f>
        <v>Support: Adithyan N. Tracks history steps</v>
      </c>
      <c r="O9" s="38">
        <v>46192</v>
      </c>
    </row>
    <row r="10" spans="1:15" x14ac:dyDescent="0.25">
      <c r="A10" s="15" t="str">
        <f>=Dashboard!A32</f>
        <v>TASK-DB-008</v>
      </c>
      <c r="B10" s="9" t="str">
        <f>=Dashboard!C32</f>
        <v>Feedback schema</v>
      </c>
      <c r="C10" s="9" t="str">
        <f>=Dashboard!D32</f>
        <v>Fathima Hana</v>
      </c>
      <c r="D10" s="15" t="str">
        <f>=Dashboard!E32</f>
        <v>Medium</v>
      </c>
      <c r="E10" s="15" t="str">
        <f>=Dashboard!F32</f>
        <v>Not Started</v>
      </c>
      <c r="F10" s="15" t="str">
        <f>=Dashboard!H32</f>
        <v>Day 3</v>
      </c>
      <c r="G10" s="15" t="str">
        <f>=Dashboard!I32</f>
        <v>TASK-DB-005</v>
      </c>
      <c r="H10" s="9" t="s">
        <v>181</v>
      </c>
      <c r="I10" s="9" t="s">
        <v>182</v>
      </c>
      <c r="J10" s="9" t="s">
        <v>139</v>
      </c>
      <c r="K10" s="9" t="s">
        <v>183</v>
      </c>
      <c r="L10" s="9" t="s">
        <v>96</v>
      </c>
      <c r="M10" s="15" t="str">
        <f>=Dashboard!O32</f>
        <v>Pending</v>
      </c>
      <c r="N10" s="9" t="str">
        <f>=Dashboard!Q32</f>
        <v>Support: Adithyan N. Constraints bounds checks</v>
      </c>
      <c r="O10" s="39">
        <v>46192</v>
      </c>
    </row>
    <row r="11" spans="1:15" x14ac:dyDescent="0.25">
      <c r="A11" s="13" t="str">
        <f>=Dashboard!A33</f>
        <v>TASK-DB-009</v>
      </c>
      <c r="B11" s="6" t="str">
        <f>=Dashboard!C33</f>
        <v>Attendance schema</v>
      </c>
      <c r="C11" s="6" t="str">
        <f>=Dashboard!D33</f>
        <v>Fathima Hana</v>
      </c>
      <c r="D11" s="13" t="str">
        <f>=Dashboard!E33</f>
        <v>High</v>
      </c>
      <c r="E11" s="13" t="str">
        <f>=Dashboard!F33</f>
        <v>Not Started</v>
      </c>
      <c r="F11" s="13" t="str">
        <f>=Dashboard!H33</f>
        <v>Day 4</v>
      </c>
      <c r="G11" s="13" t="str">
        <f>=Dashboard!I33</f>
        <v>TASK-DB-001</v>
      </c>
      <c r="H11" s="6" t="s">
        <v>187</v>
      </c>
      <c r="I11" s="6" t="s">
        <v>188</v>
      </c>
      <c r="J11" s="6" t="s">
        <v>139</v>
      </c>
      <c r="K11" s="6" t="s">
        <v>189</v>
      </c>
      <c r="L11" s="6" t="s">
        <v>96</v>
      </c>
      <c r="M11" s="13" t="str">
        <f>=Dashboard!O33</f>
        <v>Pending</v>
      </c>
      <c r="N11" s="6" t="str">
        <f>=Dashboard!Q33</f>
        <v>Support: Adithyan N. Biometric template matches parameters</v>
      </c>
      <c r="O11" s="38">
        <v>46192</v>
      </c>
    </row>
    <row r="12" spans="1:15" x14ac:dyDescent="0.25">
      <c r="A12" s="15" t="str">
        <f>=Dashboard!A34</f>
        <v>TASK-DB-010</v>
      </c>
      <c r="B12" s="9" t="str">
        <f>=Dashboard!C34</f>
        <v>Notification schema</v>
      </c>
      <c r="C12" s="9" t="str">
        <f>=Dashboard!D34</f>
        <v>Fathima Hana</v>
      </c>
      <c r="D12" s="15" t="str">
        <f>=Dashboard!E34</f>
        <v>Medium</v>
      </c>
      <c r="E12" s="15" t="str">
        <f>=Dashboard!F34</f>
        <v>Not Started</v>
      </c>
      <c r="F12" s="15" t="str">
        <f>=Dashboard!H34</f>
        <v>Day 5</v>
      </c>
      <c r="G12" s="15" t="str">
        <f>=Dashboard!I34</f>
        <v>TASK-DB-001</v>
      </c>
      <c r="H12" s="9" t="s">
        <v>193</v>
      </c>
      <c r="I12" s="9" t="s">
        <v>194</v>
      </c>
      <c r="J12" s="9" t="s">
        <v>139</v>
      </c>
      <c r="K12" s="9" t="s">
        <v>195</v>
      </c>
      <c r="L12" s="9" t="s">
        <v>96</v>
      </c>
      <c r="M12" s="15" t="str">
        <f>=Dashboard!O34</f>
        <v>Pending</v>
      </c>
      <c r="N12" s="9" t="str">
        <f>=Dashboard!Q34</f>
        <v>Support: Adithyan N. Unread indicators</v>
      </c>
      <c r="O12" s="39">
        <v>46192</v>
      </c>
    </row>
    <row r="13" spans="1:15" x14ac:dyDescent="0.25">
      <c r="A13" s="13" t="str">
        <f>=Dashboard!A35</f>
        <v>TASK-DB-011</v>
      </c>
      <c r="B13" s="6" t="str">
        <f>=Dashboard!C35</f>
        <v>Audit log schema</v>
      </c>
      <c r="C13" s="6" t="str">
        <f>=Dashboard!D35</f>
        <v>Fathima Hana</v>
      </c>
      <c r="D13" s="13" t="str">
        <f>=Dashboard!E35</f>
        <v>High</v>
      </c>
      <c r="E13" s="13" t="str">
        <f>=Dashboard!F35</f>
        <v>Not Started</v>
      </c>
      <c r="F13" s="13" t="str">
        <f>=Dashboard!H35</f>
        <v>Day 5</v>
      </c>
      <c r="G13" s="13" t="str">
        <f>=Dashboard!I35</f>
        <v>TASK-DB-001</v>
      </c>
      <c r="H13" s="6" t="s">
        <v>199</v>
      </c>
      <c r="I13" s="6" t="s">
        <v>200</v>
      </c>
      <c r="J13" s="6" t="s">
        <v>139</v>
      </c>
      <c r="K13" s="6" t="s">
        <v>201</v>
      </c>
      <c r="L13" s="6" t="s">
        <v>96</v>
      </c>
      <c r="M13" s="13" t="str">
        <f>=Dashboard!O35</f>
        <v>Pending</v>
      </c>
      <c r="N13" s="6" t="str">
        <f>=Dashboard!Q35</f>
        <v>Support: Adithyan N. Strict immutability controls</v>
      </c>
      <c r="O13" s="38">
        <v>46192</v>
      </c>
    </row>
    <row r="14" spans="1:15" x14ac:dyDescent="0.25">
      <c r="A14" s="15" t="str">
        <f>=Dashboard!A36</f>
        <v>TASK-DB-012</v>
      </c>
      <c r="B14" s="9" t="str">
        <f>=Dashboard!C36</f>
        <v>Chatbot session schema</v>
      </c>
      <c r="C14" s="9" t="str">
        <f>=Dashboard!D36</f>
        <v>Fathima Hana</v>
      </c>
      <c r="D14" s="15" t="str">
        <f>=Dashboard!E36</f>
        <v>Medium</v>
      </c>
      <c r="E14" s="15" t="str">
        <f>=Dashboard!F36</f>
        <v>Not Started</v>
      </c>
      <c r="F14" s="15" t="str">
        <f>=Dashboard!H36</f>
        <v>Day 4</v>
      </c>
      <c r="G14" s="15" t="str">
        <f>=Dashboard!I36</f>
        <v>TASK-DB-001</v>
      </c>
      <c r="H14" s="9" t="s">
        <v>205</v>
      </c>
      <c r="I14" s="9" t="s">
        <v>206</v>
      </c>
      <c r="J14" s="9" t="s">
        <v>139</v>
      </c>
      <c r="K14" s="9" t="s">
        <v>207</v>
      </c>
      <c r="L14" s="9" t="s">
        <v>96</v>
      </c>
      <c r="M14" s="15" t="str">
        <f>=Dashboard!O36</f>
        <v>Pending</v>
      </c>
      <c r="N14" s="9" t="str">
        <f>=Dashboard!Q36</f>
        <v>Support: Adithyan N. Session TTL setup</v>
      </c>
      <c r="O14" s="39">
        <v>46192</v>
      </c>
    </row>
    <row r="15" spans="1:15" x14ac:dyDescent="0.25">
      <c r="A15" s="13" t="str">
        <f>=Dashboard!A37</f>
        <v>TASK-DB-013</v>
      </c>
      <c r="B15" s="6" t="str">
        <f>=Dashboard!C37</f>
        <v>Indexes</v>
      </c>
      <c r="C15" s="6" t="str">
        <f>=Dashboard!D37</f>
        <v>Fathima Hana</v>
      </c>
      <c r="D15" s="13" t="str">
        <f>=Dashboard!E37</f>
        <v>High</v>
      </c>
      <c r="E15" s="13" t="str">
        <f>=Dashboard!F37</f>
        <v>Not Started</v>
      </c>
      <c r="F15" s="13" t="str">
        <f>=Dashboard!H37</f>
        <v>Day 1</v>
      </c>
      <c r="G15" s="13" t="str">
        <f>=Dashboard!I37</f>
        <v>TASK-DB-001</v>
      </c>
      <c r="H15" s="6" t="s">
        <v>211</v>
      </c>
      <c r="I15" s="6" t="s">
        <v>212</v>
      </c>
      <c r="J15" s="6" t="s">
        <v>213</v>
      </c>
      <c r="K15" s="6" t="s">
        <v>214</v>
      </c>
      <c r="L15" s="6" t="s">
        <v>96</v>
      </c>
      <c r="M15" s="13" t="str">
        <f>=Dashboard!O37</f>
        <v>Pending</v>
      </c>
      <c r="N15" s="6" t="str">
        <f>=Dashboard!Q37</f>
        <v>Support: Adithyan N. Index strategies verified</v>
      </c>
      <c r="O15" s="38">
        <v>46192</v>
      </c>
    </row>
    <row r="16" spans="1:15" x14ac:dyDescent="0.25">
      <c r="A16" s="15" t="str">
        <f>=Dashboard!A38</f>
        <v>TASK-DB-014</v>
      </c>
      <c r="B16" s="9" t="str">
        <f>=Dashboard!C38</f>
        <v>Relationships</v>
      </c>
      <c r="C16" s="9" t="str">
        <f>=Dashboard!D38</f>
        <v>Fathima Hana</v>
      </c>
      <c r="D16" s="15" t="str">
        <f>=Dashboard!E38</f>
        <v>Medium</v>
      </c>
      <c r="E16" s="15" t="str">
        <f>=Dashboard!F38</f>
        <v>Not Started</v>
      </c>
      <c r="F16" s="15" t="str">
        <f>=Dashboard!H38</f>
        <v>Day 1</v>
      </c>
      <c r="G16" s="15" t="str">
        <f>=Dashboard!I38</f>
        <v>TASK-DB-002</v>
      </c>
      <c r="H16" s="9" t="s">
        <v>218</v>
      </c>
      <c r="I16" s="9" t="s">
        <v>219</v>
      </c>
      <c r="J16" s="9" t="s">
        <v>220</v>
      </c>
      <c r="K16" s="9" t="s">
        <v>221</v>
      </c>
      <c r="L16" s="9" t="s">
        <v>96</v>
      </c>
      <c r="M16" s="15" t="str">
        <f>=Dashboard!O38</f>
        <v>Pending</v>
      </c>
      <c r="N16" s="9" t="str">
        <f>=Dashboard!Q38</f>
        <v>Support: Adithyan N. Strict Mongoose validations</v>
      </c>
      <c r="O16" s="39">
        <v>46192</v>
      </c>
    </row>
    <row r="17" spans="1:15" x14ac:dyDescent="0.25">
      <c r="A17" s="13" t="str">
        <f>=Dashboard!A39</f>
        <v>TASK-DB-015</v>
      </c>
      <c r="B17" s="6" t="str">
        <f>=Dashboard!C39</f>
        <v>Validation rules</v>
      </c>
      <c r="C17" s="6" t="str">
        <f>=Dashboard!D39</f>
        <v>Fathima Hana</v>
      </c>
      <c r="D17" s="13" t="str">
        <f>=Dashboard!E39</f>
        <v>High</v>
      </c>
      <c r="E17" s="13" t="str">
        <f>=Dashboard!F39</f>
        <v>Not Started</v>
      </c>
      <c r="F17" s="13" t="str">
        <f>=Dashboard!H39</f>
        <v>Day 1</v>
      </c>
      <c r="G17" s="13" t="str">
        <f>=Dashboard!I39</f>
        <v>TASK-DB-001</v>
      </c>
      <c r="H17" s="6" t="s">
        <v>225</v>
      </c>
      <c r="I17" s="6" t="s">
        <v>226</v>
      </c>
      <c r="J17" s="6" t="s">
        <v>227</v>
      </c>
      <c r="K17" s="6" t="s">
        <v>228</v>
      </c>
      <c r="L17" s="6" t="s">
        <v>96</v>
      </c>
      <c r="M17" s="13" t="str">
        <f>=Dashboard!O39</f>
        <v>Pending</v>
      </c>
      <c r="N17" s="6" t="str">
        <f>=Dashboard!Q39</f>
        <v>Support: Adithyan N. Input sanity checker</v>
      </c>
      <c r="O17" s="38">
        <v>46192</v>
      </c>
    </row>
    <row r="18" spans="1:15" x14ac:dyDescent="0.25">
      <c r="A18" s="15" t="str">
        <f>=Dashboard!A40</f>
        <v>TASK-DB-016</v>
      </c>
      <c r="B18" s="9" t="str">
        <f>=Dashboard!C40</f>
        <v>Query optimization</v>
      </c>
      <c r="C18" s="9" t="str">
        <f>=Dashboard!D40</f>
        <v>Fathima Hana</v>
      </c>
      <c r="D18" s="15" t="str">
        <f>=Dashboard!E40</f>
        <v>Medium</v>
      </c>
      <c r="E18" s="15" t="str">
        <f>=Dashboard!F40</f>
        <v>Not Started</v>
      </c>
      <c r="F18" s="15" t="str">
        <f>=Dashboard!H40</f>
        <v>Day 6</v>
      </c>
      <c r="G18" s="15" t="str">
        <f>=Dashboard!I40</f>
        <v>TASK-DB-013</v>
      </c>
      <c r="H18" s="9" t="s">
        <v>232</v>
      </c>
      <c r="I18" s="9" t="s">
        <v>233</v>
      </c>
      <c r="J18" s="9" t="s">
        <v>234</v>
      </c>
      <c r="K18" s="9" t="s">
        <v>235</v>
      </c>
      <c r="L18" s="9" t="s">
        <v>96</v>
      </c>
      <c r="M18" s="15" t="str">
        <f>=Dashboard!O40</f>
        <v>Pending</v>
      </c>
      <c r="N18" s="9" t="str">
        <f>=Dashboard!Q40</f>
        <v>Support: Adithyan N. Optimizing pipeline matches</v>
      </c>
      <c r="O18" s="39">
        <v>46192</v>
      </c>
    </row>
  </sheetData>
  <autoFilter ref="A2:O18"/>
  <mergeCells count="1">
    <mergeCell ref="A1:O1"/>
  </mergeCells>
  <conditionalFormatting sqref="E3:E18">
    <cfRule type="cellIs" dxfId="99" priority="1" operator="equal">
      <formula>"Completed"</formula>
    </cfRule>
    <cfRule type="cellIs" dxfId="100" priority="2" operator="equal">
      <formula>"In Progress"</formula>
    </cfRule>
    <cfRule type="cellIs" dxfId="101" priority="3" operator="equal">
      <formula>"Review"</formula>
    </cfRule>
    <cfRule type="cellIs" dxfId="102" priority="4" operator="equal">
      <formula>"Blocked"</formula>
    </cfRule>
    <cfRule type="cellIs" dxfId="103" priority="5" operator="equal">
      <formula>"Not Started"</formula>
    </cfRule>
  </conditionalFormatting>
  <conditionalFormatting sqref="D3:D18">
    <cfRule type="cellIs" dxfId="104" priority="6" operator="equal">
      <formula>"Critical"</formula>
    </cfRule>
    <cfRule type="cellIs" dxfId="105" priority="7" operator="equal">
      <formula>"High"</formula>
    </cfRule>
    <cfRule type="cellIs" dxfId="106" priority="8" operator="equal">
      <formula>"Medium"</formula>
    </cfRule>
    <cfRule type="cellIs" dxfId="107" priority="9" operator="equal">
      <formula>"Low"</formula>
    </cfRule>
  </conditionalFormatting>
  <dataValidations count="4">
    <dataValidation type="list" allowBlank="1" sqref="D10:D18">
      <formula1>"Critical,High,Medium,Low"</formula1>
    </dataValidation>
    <dataValidation type="list" allowBlank="1" sqref="D3:D18">
      <formula1>"Critical,High,Medium,Low"</formula1>
    </dataValidation>
    <dataValidation type="list" allowBlank="1" sqref="E10:E18">
      <formula1>"Not Started,In Progress,Review,Completed,Blocked"</formula1>
    </dataValidation>
    <dataValidation type="list" allowBlank="1" sqref="E3:E1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761</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=Dashboard!A85</f>
        <v>TASK-AI-001</v>
      </c>
      <c r="B3" s="6" t="str">
        <f>=Dashboard!C85</f>
        <v>Gemini integration</v>
      </c>
      <c r="C3" s="6" t="str">
        <f>=Dashboard!D85</f>
        <v>Muhammed Sadik KT</v>
      </c>
      <c r="D3" s="13" t="str">
        <f>=Dashboard!E85</f>
        <v>High</v>
      </c>
      <c r="E3" s="13" t="str">
        <f>=Dashboard!F85</f>
        <v>Not Started</v>
      </c>
      <c r="F3" s="13" t="str">
        <f>=Dashboard!H85</f>
        <v>Day 4</v>
      </c>
      <c r="G3" s="13" t="str">
        <f>=Dashboard!I85</f>
        <v>None</v>
      </c>
      <c r="H3" s="6" t="s">
        <v>546</v>
      </c>
      <c r="I3" s="6" t="s">
        <v>547</v>
      </c>
      <c r="J3" s="6" t="s">
        <v>548</v>
      </c>
      <c r="K3" s="6" t="s">
        <v>549</v>
      </c>
      <c r="L3" s="6" t="s">
        <v>550</v>
      </c>
      <c r="M3" s="13" t="str">
        <f>=Dashboard!O85</f>
        <v>Pending</v>
      </c>
      <c r="N3" s="6" t="str">
        <f>=Dashboard!Q85</f>
        <v>RAG context grounding middleware</v>
      </c>
      <c r="O3" s="38">
        <v>46192</v>
      </c>
    </row>
    <row r="4" spans="1:15" x14ac:dyDescent="0.25">
      <c r="A4" s="15" t="str">
        <f>=Dashboard!A86</f>
        <v>TASK-AI-002</v>
      </c>
      <c r="B4" s="9" t="str">
        <f>=Dashboard!C86</f>
        <v>Prompt engineering</v>
      </c>
      <c r="C4" s="9" t="str">
        <f>=Dashboard!D86</f>
        <v>Muhammed Sadik KT</v>
      </c>
      <c r="D4" s="15" t="str">
        <f>=Dashboard!E86</f>
        <v>Medium</v>
      </c>
      <c r="E4" s="15" t="str">
        <f>=Dashboard!F86</f>
        <v>Not Started</v>
      </c>
      <c r="F4" s="15" t="str">
        <f>=Dashboard!H86</f>
        <v>Day 4</v>
      </c>
      <c r="G4" s="15" t="str">
        <f>=Dashboard!I86</f>
        <v>TASK-AI-001</v>
      </c>
      <c r="H4" s="9" t="s">
        <v>554</v>
      </c>
      <c r="I4" s="9" t="s">
        <v>555</v>
      </c>
      <c r="J4" s="9" t="s">
        <v>556</v>
      </c>
      <c r="K4" s="9" t="s">
        <v>557</v>
      </c>
      <c r="L4" s="9" t="s">
        <v>550</v>
      </c>
      <c r="M4" s="15" t="str">
        <f>=Dashboard!O86</f>
        <v>Pending</v>
      </c>
      <c r="N4" s="9" t="str">
        <f>=Dashboard!Q86</f>
        <v>Strict grounding bounds</v>
      </c>
      <c r="O4" s="39">
        <v>46192</v>
      </c>
    </row>
    <row r="5" spans="1:15" x14ac:dyDescent="0.25">
      <c r="A5" s="13" t="str">
        <f>=Dashboard!A87</f>
        <v>TASK-AI-003</v>
      </c>
      <c r="B5" s="6" t="str">
        <f>=Dashboard!C87</f>
        <v>Chatbot API</v>
      </c>
      <c r="C5" s="6" t="str">
        <f>=Dashboard!D87</f>
        <v>Muhammed Sadik KT</v>
      </c>
      <c r="D5" s="13" t="str">
        <f>=Dashboard!E87</f>
        <v>High</v>
      </c>
      <c r="E5" s="13" t="str">
        <f>=Dashboard!F87</f>
        <v>Not Started</v>
      </c>
      <c r="F5" s="13" t="str">
        <f>=Dashboard!H87</f>
        <v>Day 4</v>
      </c>
      <c r="G5" s="13" t="str">
        <f>=Dashboard!I87</f>
        <v>TASK-AI-001</v>
      </c>
      <c r="H5" s="6" t="s">
        <v>561</v>
      </c>
      <c r="I5" s="6" t="s">
        <v>562</v>
      </c>
      <c r="J5" s="6" t="s">
        <v>319</v>
      </c>
      <c r="K5" s="6" t="s">
        <v>563</v>
      </c>
      <c r="L5" s="6" t="s">
        <v>550</v>
      </c>
      <c r="M5" s="13" t="str">
        <f>=Dashboard!O87</f>
        <v>Pending</v>
      </c>
      <c r="N5" s="6" t="str">
        <f>=Dashboard!Q87</f>
        <v>Logs sessions to chatbot DB logs</v>
      </c>
      <c r="O5" s="38">
        <v>46192</v>
      </c>
    </row>
    <row r="6" spans="1:15" x14ac:dyDescent="0.25">
      <c r="A6" s="15" t="str">
        <f>=Dashboard!A88</f>
        <v>TASK-AI-004</v>
      </c>
      <c r="B6" s="9" t="str">
        <f>=Dashboard!C88</f>
        <v>OCR service</v>
      </c>
      <c r="C6" s="9" t="str">
        <f>=Dashboard!D88</f>
        <v>Muhammed Sadik KT</v>
      </c>
      <c r="D6" s="15" t="str">
        <f>=Dashboard!E88</f>
        <v>Medium</v>
      </c>
      <c r="E6" s="15" t="str">
        <f>=Dashboard!F88</f>
        <v>Not Started</v>
      </c>
      <c r="F6" s="15" t="str">
        <f>=Dashboard!H88</f>
        <v>Day 5</v>
      </c>
      <c r="G6" s="15" t="str">
        <f>=Dashboard!I88</f>
        <v>None</v>
      </c>
      <c r="H6" s="9" t="s">
        <v>567</v>
      </c>
      <c r="I6" s="9" t="s">
        <v>568</v>
      </c>
      <c r="J6" s="9" t="s">
        <v>569</v>
      </c>
      <c r="K6" s="9" t="s">
        <v>570</v>
      </c>
      <c r="L6" s="9" t="s">
        <v>550</v>
      </c>
      <c r="M6" s="15" t="str">
        <f>=Dashboard!O88</f>
        <v>Pending</v>
      </c>
      <c r="N6" s="9" t="str">
        <f>=Dashboard!Q88</f>
        <v>Sandbox process execution setup</v>
      </c>
      <c r="O6" s="39">
        <v>46192</v>
      </c>
    </row>
    <row r="7" spans="1:15" x14ac:dyDescent="0.25">
      <c r="A7" s="13" t="str">
        <f>=Dashboard!A89</f>
        <v>TASK-AI-005</v>
      </c>
      <c r="B7" s="6" t="str">
        <f>=Dashboard!C89</f>
        <v>OCR validation</v>
      </c>
      <c r="C7" s="6" t="str">
        <f>=Dashboard!D89</f>
        <v>Muhammed Sadik KT</v>
      </c>
      <c r="D7" s="13" t="str">
        <f>=Dashboard!E89</f>
        <v>Medium</v>
      </c>
      <c r="E7" s="13" t="str">
        <f>=Dashboard!F89</f>
        <v>Not Started</v>
      </c>
      <c r="F7" s="13" t="str">
        <f>=Dashboard!H89</f>
        <v>Day 5</v>
      </c>
      <c r="G7" s="13" t="str">
        <f>=Dashboard!I89</f>
        <v>TASK-AI-004</v>
      </c>
      <c r="H7" s="6" t="s">
        <v>574</v>
      </c>
      <c r="I7" s="6" t="s">
        <v>575</v>
      </c>
      <c r="J7" s="6" t="s">
        <v>576</v>
      </c>
      <c r="K7" s="6" t="s">
        <v>577</v>
      </c>
      <c r="L7" s="6" t="s">
        <v>550</v>
      </c>
      <c r="M7" s="13" t="str">
        <f>=Dashboard!O89</f>
        <v>Pending</v>
      </c>
      <c r="N7" s="6" t="str">
        <f>=Dashboard!Q89</f>
        <v>Verify metadata matching limits</v>
      </c>
      <c r="O7" s="38">
        <v>46192</v>
      </c>
    </row>
    <row r="8" spans="1:15" x14ac:dyDescent="0.25">
      <c r="A8" s="15" t="str">
        <f>=Dashboard!A90</f>
        <v>TASK-AI-006</v>
      </c>
      <c r="B8" s="9" t="str">
        <f>=Dashboard!C90</f>
        <v>Face recognition core</v>
      </c>
      <c r="C8" s="9" t="str">
        <f>=Dashboard!D90</f>
        <v>Muhammed Sadik KT</v>
      </c>
      <c r="D8" s="15" t="str">
        <f>=Dashboard!E90</f>
        <v>Critical</v>
      </c>
      <c r="E8" s="15" t="str">
        <f>=Dashboard!F90</f>
        <v>Not Started</v>
      </c>
      <c r="F8" s="15" t="str">
        <f>=Dashboard!H90</f>
        <v>Day 4</v>
      </c>
      <c r="G8" s="15" t="str">
        <f>=Dashboard!I90</f>
        <v>None</v>
      </c>
      <c r="H8" s="9" t="s">
        <v>581</v>
      </c>
      <c r="I8" s="9" t="s">
        <v>582</v>
      </c>
      <c r="J8" s="9" t="s">
        <v>583</v>
      </c>
      <c r="K8" s="9" t="s">
        <v>584</v>
      </c>
      <c r="L8" s="9" t="s">
        <v>550</v>
      </c>
      <c r="M8" s="15" t="str">
        <f>=Dashboard!O90</f>
        <v>Pending</v>
      </c>
      <c r="N8" s="9" t="str">
        <f>=Dashboard!Q90</f>
        <v>Volatile memory calculations</v>
      </c>
      <c r="O8" s="39">
        <v>46192</v>
      </c>
    </row>
    <row r="9" spans="1:15" x14ac:dyDescent="0.25">
      <c r="A9" s="13" t="str">
        <f>=Dashboard!A91</f>
        <v>TASK-AI-007</v>
      </c>
      <c r="B9" s="6" t="str">
        <f>=Dashboard!C91</f>
        <v>Attendance recognition service</v>
      </c>
      <c r="C9" s="6" t="str">
        <f>=Dashboard!D91</f>
        <v>Muhammed Sadik KT</v>
      </c>
      <c r="D9" s="13" t="str">
        <f>=Dashboard!E91</f>
        <v>High</v>
      </c>
      <c r="E9" s="13" t="str">
        <f>=Dashboard!F91</f>
        <v>Not Started</v>
      </c>
      <c r="F9" s="13" t="str">
        <f>=Dashboard!H91</f>
        <v>Day 4</v>
      </c>
      <c r="G9" s="13" t="str">
        <f>=Dashboard!I91</f>
        <v>TASK-AI-006</v>
      </c>
      <c r="H9" s="6" t="s">
        <v>588</v>
      </c>
      <c r="I9" s="6" t="s">
        <v>589</v>
      </c>
      <c r="J9" s="6" t="s">
        <v>590</v>
      </c>
      <c r="K9" s="6" t="s">
        <v>591</v>
      </c>
      <c r="L9" s="6" t="s">
        <v>550</v>
      </c>
      <c r="M9" s="13" t="str">
        <f>=Dashboard!O91</f>
        <v>Pending</v>
      </c>
      <c r="N9" s="6" t="str">
        <f>=Dashboard!Q91</f>
        <v>Liveness score validation criteria check</v>
      </c>
      <c r="O9" s="38">
        <v>46192</v>
      </c>
    </row>
    <row r="10" spans="1:15" x14ac:dyDescent="0.25">
      <c r="A10" s="15" t="str">
        <f>=Dashboard!A92</f>
        <v>TASK-AI-008</v>
      </c>
      <c r="B10" s="9" t="str">
        <f>=Dashboard!C92</f>
        <v>AI testing</v>
      </c>
      <c r="C10" s="9" t="str">
        <f>=Dashboard!D92</f>
        <v>Muhammed Sadik KT</v>
      </c>
      <c r="D10" s="15" t="str">
        <f>=Dashboard!E92</f>
        <v>Medium</v>
      </c>
      <c r="E10" s="15" t="str">
        <f>=Dashboard!F92</f>
        <v>Not Started</v>
      </c>
      <c r="F10" s="15" t="str">
        <f>=Dashboard!H92</f>
        <v>Day 5</v>
      </c>
      <c r="G10" s="15" t="str">
        <f>=Dashboard!I92</f>
        <v>TASK-AI-007</v>
      </c>
      <c r="H10" s="9" t="s">
        <v>595</v>
      </c>
      <c r="I10" s="9" t="s">
        <v>596</v>
      </c>
      <c r="J10" s="9" t="s">
        <v>597</v>
      </c>
      <c r="K10" s="9" t="s">
        <v>598</v>
      </c>
      <c r="L10" s="9" t="s">
        <v>550</v>
      </c>
      <c r="M10" s="15" t="str">
        <f>=Dashboard!O92</f>
        <v>Pending</v>
      </c>
      <c r="N10" s="9" t="str">
        <f>=Dashboard!Q92</f>
        <v>Checks accuracy scales</v>
      </c>
      <c r="O10" s="39">
        <v>46192</v>
      </c>
    </row>
    <row r="11" spans="1:15" x14ac:dyDescent="0.25">
      <c r="A11" s="13" t="str">
        <f>=Dashboard!A93</f>
        <v>TASK-AI-009</v>
      </c>
      <c r="B11" s="6" t="str">
        <f>=Dashboard!C93</f>
        <v>Response optimization</v>
      </c>
      <c r="C11" s="6" t="str">
        <f>=Dashboard!D93</f>
        <v>Muhammed Sadik KT</v>
      </c>
      <c r="D11" s="13" t="str">
        <f>=Dashboard!E93</f>
        <v>Medium</v>
      </c>
      <c r="E11" s="13" t="str">
        <f>=Dashboard!F93</f>
        <v>Not Started</v>
      </c>
      <c r="F11" s="13" t="str">
        <f>=Dashboard!H93</f>
        <v>Day 5</v>
      </c>
      <c r="G11" s="13" t="str">
        <f>=Dashboard!I93</f>
        <v>TASK-AI-002</v>
      </c>
      <c r="H11" s="6" t="s">
        <v>602</v>
      </c>
      <c r="I11" s="6" t="s">
        <v>603</v>
      </c>
      <c r="J11" s="6" t="s">
        <v>604</v>
      </c>
      <c r="K11" s="6" t="s">
        <v>605</v>
      </c>
      <c r="L11" s="6" t="s">
        <v>550</v>
      </c>
      <c r="M11" s="13" t="str">
        <f>=Dashboard!O93</f>
        <v>Pending</v>
      </c>
      <c r="N11" s="6" t="str">
        <f>=Dashboard!Q93</f>
        <v>RAG search optimizations</v>
      </c>
      <c r="O11" s="38">
        <v>46192</v>
      </c>
    </row>
  </sheetData>
  <autoFilter ref="A2:O11"/>
  <mergeCells count="1">
    <mergeCell ref="A1:O1"/>
  </mergeCells>
  <conditionalFormatting sqref="E3:E11">
    <cfRule type="cellIs" dxfId="108" priority="1" operator="equal">
      <formula>"Completed"</formula>
    </cfRule>
    <cfRule type="cellIs" dxfId="109" priority="2" operator="equal">
      <formula>"In Progress"</formula>
    </cfRule>
    <cfRule type="cellIs" dxfId="110" priority="3" operator="equal">
      <formula>"Review"</formula>
    </cfRule>
    <cfRule type="cellIs" dxfId="111" priority="4" operator="equal">
      <formula>"Blocked"</formula>
    </cfRule>
    <cfRule type="cellIs" dxfId="112" priority="5" operator="equal">
      <formula>"Not Started"</formula>
    </cfRule>
  </conditionalFormatting>
  <conditionalFormatting sqref="D3:D11">
    <cfRule type="cellIs" dxfId="113" priority="6" operator="equal">
      <formula>"Critical"</formula>
    </cfRule>
    <cfRule type="cellIs" dxfId="114" priority="7" operator="equal">
      <formula>"High"</formula>
    </cfRule>
    <cfRule type="cellIs" dxfId="115" priority="8" operator="equal">
      <formula>"Medium"</formula>
    </cfRule>
    <cfRule type="cellIs" dxfId="116" priority="9" operator="equal">
      <formula>"Low"</formula>
    </cfRule>
  </conditionalFormatting>
  <dataValidations count="4">
    <dataValidation type="list" allowBlank="1" sqref="D10:D11">
      <formula1>"Critical,High,Medium,Low"</formula1>
    </dataValidation>
    <dataValidation type="list" allowBlank="1" sqref="D3:D11">
      <formula1>"Critical,High,Medium,Low"</formula1>
    </dataValidation>
    <dataValidation type="list" allowBlank="1" sqref="E10:E11">
      <formula1>"Not Started,In Progress,Review,Completed,Blocked"</formula1>
    </dataValidation>
    <dataValidation type="list" allowBlank="1" sqref="E3:E11">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762</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=Dashboard!A94</f>
        <v>TASK-FR-001</v>
      </c>
      <c r="B3" s="6" t="str">
        <f>=Dashboard!C94</f>
        <v>Dataset Collection</v>
      </c>
      <c r="C3" s="6" t="str">
        <f>=Dashboard!D94</f>
        <v>Fadi Ahmed</v>
      </c>
      <c r="D3" s="13" t="str">
        <f>=Dashboard!E94</f>
        <v>Medium</v>
      </c>
      <c r="E3" s="13" t="str">
        <f>=Dashboard!F94</f>
        <v>Not Started</v>
      </c>
      <c r="F3" s="13" t="str">
        <f>=Dashboard!H94</f>
        <v>Day 4</v>
      </c>
      <c r="G3" s="13" t="str">
        <f>=Dashboard!I94</f>
        <v>None</v>
      </c>
      <c r="H3" s="6" t="s">
        <v>609</v>
      </c>
      <c r="I3" s="6" t="s">
        <v>610</v>
      </c>
      <c r="J3" s="6" t="s">
        <v>611</v>
      </c>
      <c r="K3" s="6" t="s">
        <v>612</v>
      </c>
      <c r="L3" s="6" t="s">
        <v>550</v>
      </c>
      <c r="M3" s="13" t="str">
        <f>=Dashboard!O94</f>
        <v>Pending</v>
      </c>
      <c r="N3" s="6" t="str">
        <f>=Dashboard!Q94</f>
        <v>No images checked in repository</v>
      </c>
      <c r="O3" s="38">
        <v>46192</v>
      </c>
    </row>
    <row r="4" spans="1:15" x14ac:dyDescent="0.25">
      <c r="A4" s="15" t="str">
        <f>=Dashboard!A95</f>
        <v>TASK-FR-002</v>
      </c>
      <c r="B4" s="9" t="str">
        <f>=Dashboard!C95</f>
        <v>Prototype Refinement</v>
      </c>
      <c r="C4" s="9" t="str">
        <f>=Dashboard!D95</f>
        <v>Fadi Ahmed</v>
      </c>
      <c r="D4" s="15" t="str">
        <f>=Dashboard!E95</f>
        <v>High</v>
      </c>
      <c r="E4" s="15" t="str">
        <f>=Dashboard!F95</f>
        <v>Not Started</v>
      </c>
      <c r="F4" s="15" t="str">
        <f>=Dashboard!H95</f>
        <v>Day 4</v>
      </c>
      <c r="G4" s="15" t="str">
        <f>=Dashboard!I95</f>
        <v>TASK-AI-006</v>
      </c>
      <c r="H4" s="9" t="s">
        <v>616</v>
      </c>
      <c r="I4" s="9" t="s">
        <v>617</v>
      </c>
      <c r="J4" s="9" t="s">
        <v>618</v>
      </c>
      <c r="K4" s="9" t="s">
        <v>619</v>
      </c>
      <c r="L4" s="9" t="s">
        <v>550</v>
      </c>
      <c r="M4" s="15" t="str">
        <f>=Dashboard!O95</f>
        <v>Pending</v>
      </c>
      <c r="N4" s="9" t="str">
        <f>=Dashboard!Q95</f>
        <v>Anti-spoofing tests calibration</v>
      </c>
      <c r="O4" s="39">
        <v>46192</v>
      </c>
    </row>
    <row r="5" spans="1:15" x14ac:dyDescent="0.25">
      <c r="A5" s="13" t="str">
        <f>=Dashboard!A96</f>
        <v>TASK-FR-003</v>
      </c>
      <c r="B5" s="6" t="str">
        <f>=Dashboard!C96</f>
        <v>Camera Integration Testing</v>
      </c>
      <c r="C5" s="6" t="str">
        <f>=Dashboard!D96</f>
        <v>Fadi Ahmed</v>
      </c>
      <c r="D5" s="13" t="str">
        <f>=Dashboard!E96</f>
        <v>Medium</v>
      </c>
      <c r="E5" s="13" t="str">
        <f>=Dashboard!F96</f>
        <v>Not Started</v>
      </c>
      <c r="F5" s="13" t="str">
        <f>=Dashboard!H96</f>
        <v>Day 4</v>
      </c>
      <c r="G5" s="13" t="str">
        <f>=Dashboard!I96</f>
        <v>None</v>
      </c>
      <c r="H5" s="6" t="s">
        <v>623</v>
      </c>
      <c r="I5" s="6" t="s">
        <v>624</v>
      </c>
      <c r="J5" s="6" t="s">
        <v>625</v>
      </c>
      <c r="K5" s="6" t="s">
        <v>626</v>
      </c>
      <c r="L5" s="6" t="s">
        <v>550</v>
      </c>
      <c r="M5" s="13" t="str">
        <f>=Dashboard!O96</f>
        <v>Pending</v>
      </c>
      <c r="N5" s="6" t="str">
        <f>=Dashboard!Q96</f>
        <v>Confirm permissions logic</v>
      </c>
      <c r="O5" s="38">
        <v>46192</v>
      </c>
    </row>
    <row r="6" spans="1:15" x14ac:dyDescent="0.25">
      <c r="A6" s="15" t="str">
        <f>=Dashboard!A97</f>
        <v>TASK-FR-004</v>
      </c>
      <c r="B6" s="9" t="str">
        <f>=Dashboard!C97</f>
        <v>Attendance Workflow Testing</v>
      </c>
      <c r="C6" s="9" t="str">
        <f>=Dashboard!D97</f>
        <v>Fadi Ahmed</v>
      </c>
      <c r="D6" s="15" t="str">
        <f>=Dashboard!E97</f>
        <v>High</v>
      </c>
      <c r="E6" s="15" t="str">
        <f>=Dashboard!F97</f>
        <v>Not Started</v>
      </c>
      <c r="F6" s="15" t="str">
        <f>=Dashboard!H97</f>
        <v>Day 5</v>
      </c>
      <c r="G6" s="15" t="str">
        <f>=Dashboard!I97</f>
        <v>TASK-FR-003</v>
      </c>
      <c r="H6" s="9" t="s">
        <v>630</v>
      </c>
      <c r="I6" s="9" t="s">
        <v>631</v>
      </c>
      <c r="J6" s="9" t="s">
        <v>632</v>
      </c>
      <c r="K6" s="9" t="s">
        <v>633</v>
      </c>
      <c r="L6" s="9" t="s">
        <v>550</v>
      </c>
      <c r="M6" s="15" t="str">
        <f>=Dashboard!O97</f>
        <v>Pending</v>
      </c>
      <c r="N6" s="9" t="str">
        <f>=Dashboard!Q97</f>
        <v>Strict consent checker gating attendance validation</v>
      </c>
      <c r="O6" s="39">
        <v>46192</v>
      </c>
    </row>
    <row r="7" spans="1:15" x14ac:dyDescent="0.25">
      <c r="A7" s="13" t="str">
        <f>=Dashboard!A98</f>
        <v>TASK-FR-005</v>
      </c>
      <c r="B7" s="6" t="str">
        <f>=Dashboard!C98</f>
        <v>Recognition Accuracy Testing</v>
      </c>
      <c r="C7" s="6" t="str">
        <f>=Dashboard!D98</f>
        <v>Fadi Ahmed</v>
      </c>
      <c r="D7" s="13" t="str">
        <f>=Dashboard!E98</f>
        <v>High</v>
      </c>
      <c r="E7" s="13" t="str">
        <f>=Dashboard!F98</f>
        <v>Not Started</v>
      </c>
      <c r="F7" s="13" t="str">
        <f>=Dashboard!H98</f>
        <v>Day 5</v>
      </c>
      <c r="G7" s="13" t="str">
        <f>=Dashboard!I98</f>
        <v>TASK-FR-002</v>
      </c>
      <c r="H7" s="6" t="s">
        <v>637</v>
      </c>
      <c r="I7" s="6" t="s">
        <v>638</v>
      </c>
      <c r="J7" s="6" t="s">
        <v>639</v>
      </c>
      <c r="K7" s="6" t="s">
        <v>640</v>
      </c>
      <c r="L7" s="6" t="s">
        <v>550</v>
      </c>
      <c r="M7" s="13" t="str">
        <f>=Dashboard!O98</f>
        <v>Pending</v>
      </c>
      <c r="N7" s="6" t="str">
        <f>=Dashboard!Q98</f>
        <v>Audits against spoof attacks</v>
      </c>
      <c r="O7" s="38">
        <v>46192</v>
      </c>
    </row>
    <row r="8" spans="1:15" x14ac:dyDescent="0.25">
      <c r="A8" s="15" t="str">
        <f>=Dashboard!A99</f>
        <v>TASK-FR-006</v>
      </c>
      <c r="B8" s="9" t="str">
        <f>=Dashboard!C99</f>
        <v>Cross-Browser Camera Testing</v>
      </c>
      <c r="C8" s="9" t="str">
        <f>=Dashboard!D99</f>
        <v>Fadi Ahmed</v>
      </c>
      <c r="D8" s="15" t="str">
        <f>=Dashboard!E99</f>
        <v>Medium</v>
      </c>
      <c r="E8" s="15" t="str">
        <f>=Dashboard!F99</f>
        <v>Not Started</v>
      </c>
      <c r="F8" s="15" t="str">
        <f>=Dashboard!H99</f>
        <v>Day 6</v>
      </c>
      <c r="G8" s="15" t="str">
        <f>=Dashboard!I99</f>
        <v>TASK-FR-003</v>
      </c>
      <c r="H8" s="9" t="s">
        <v>644</v>
      </c>
      <c r="I8" s="9" t="s">
        <v>645</v>
      </c>
      <c r="J8" s="9" t="s">
        <v>646</v>
      </c>
      <c r="K8" s="9" t="s">
        <v>647</v>
      </c>
      <c r="L8" s="9" t="s">
        <v>550</v>
      </c>
      <c r="M8" s="15" t="str">
        <f>=Dashboard!O99</f>
        <v>Pending</v>
      </c>
      <c r="N8" s="9" t="str">
        <f>=Dashboard!Q99</f>
        <v>Webcam permissions tests on Safari/Firefox/Chrome</v>
      </c>
      <c r="O8" s="39">
        <v>46192</v>
      </c>
    </row>
    <row r="9" spans="1:15" x14ac:dyDescent="0.25">
      <c r="A9" s="13" t="str">
        <f>=Dashboard!A100</f>
        <v>TASK-FR-007</v>
      </c>
      <c r="B9" s="6" t="str">
        <f>=Dashboard!C100</f>
        <v>Scanner UI Review</v>
      </c>
      <c r="C9" s="6" t="str">
        <f>=Dashboard!D100</f>
        <v>Fadi Ahmed</v>
      </c>
      <c r="D9" s="13" t="str">
        <f>=Dashboard!E100</f>
        <v>Medium</v>
      </c>
      <c r="E9" s="13" t="str">
        <f>=Dashboard!F100</f>
        <v>Not Started</v>
      </c>
      <c r="F9" s="13" t="str">
        <f>=Dashboard!H100</f>
        <v>Day 4</v>
      </c>
      <c r="G9" s="13" t="str">
        <f>=Dashboard!I100</f>
        <v>None</v>
      </c>
      <c r="H9" s="6" t="s">
        <v>651</v>
      </c>
      <c r="I9" s="6" t="s">
        <v>652</v>
      </c>
      <c r="J9" s="6" t="s">
        <v>653</v>
      </c>
      <c r="K9" s="6" t="s">
        <v>654</v>
      </c>
      <c r="L9" s="6" t="s">
        <v>381</v>
      </c>
      <c r="M9" s="13" t="str">
        <f>=Dashboard!O100</f>
        <v>Pending</v>
      </c>
      <c r="N9" s="6" t="str">
        <f>=Dashboard!Q100</f>
        <v>UI responsiveness check</v>
      </c>
      <c r="O9" s="38">
        <v>46192</v>
      </c>
    </row>
    <row r="10" spans="1:15" x14ac:dyDescent="0.25">
      <c r="A10" s="15" t="str">
        <f>=Dashboard!A101</f>
        <v>TASK-FR-008</v>
      </c>
      <c r="B10" s="9" t="str">
        <f>=Dashboard!C101</f>
        <v>System Integration Testing</v>
      </c>
      <c r="C10" s="9" t="str">
        <f>=Dashboard!D101</f>
        <v>Fadi Ahmed</v>
      </c>
      <c r="D10" s="15" t="str">
        <f>=Dashboard!E101</f>
        <v>High</v>
      </c>
      <c r="E10" s="15" t="str">
        <f>=Dashboard!F101</f>
        <v>Not Started</v>
      </c>
      <c r="F10" s="15" t="str">
        <f>=Dashboard!H101</f>
        <v>Day 6</v>
      </c>
      <c r="G10" s="15" t="str">
        <f>=Dashboard!I101</f>
        <v>TASK-FR-004</v>
      </c>
      <c r="H10" s="9" t="s">
        <v>658</v>
      </c>
      <c r="I10" s="9" t="s">
        <v>659</v>
      </c>
      <c r="J10" s="9" t="s">
        <v>660</v>
      </c>
      <c r="K10" s="9" t="s">
        <v>661</v>
      </c>
      <c r="L10" s="9" t="s">
        <v>550</v>
      </c>
      <c r="M10" s="15" t="str">
        <f>=Dashboard!O101</f>
        <v>Pending</v>
      </c>
      <c r="N10" s="9" t="str">
        <f>=Dashboard!Q101</f>
        <v>Gating RBAC reviews verified</v>
      </c>
      <c r="O10" s="39">
        <v>46192</v>
      </c>
    </row>
    <row r="11" spans="1:15" x14ac:dyDescent="0.25">
      <c r="A11" s="13" t="str">
        <f>=Dashboard!A102</f>
        <v>TASK-FR-009</v>
      </c>
      <c r="B11" s="6" t="str">
        <f>=Dashboard!C102</f>
        <v>Camera Permission Testing</v>
      </c>
      <c r="C11" s="6" t="str">
        <f>=Dashboard!D102</f>
        <v>Fadi Ahmed</v>
      </c>
      <c r="D11" s="13" t="str">
        <f>=Dashboard!E102</f>
        <v>Medium</v>
      </c>
      <c r="E11" s="13" t="str">
        <f>=Dashboard!F102</f>
        <v>Not Started</v>
      </c>
      <c r="F11" s="13" t="str">
        <f>=Dashboard!H102</f>
        <v>Day 4</v>
      </c>
      <c r="G11" s="13" t="str">
        <f>=Dashboard!I102</f>
        <v>TASK-FR-003</v>
      </c>
      <c r="H11" s="6" t="s">
        <v>665</v>
      </c>
      <c r="I11" s="6" t="s">
        <v>666</v>
      </c>
      <c r="J11" s="6" t="s">
        <v>667</v>
      </c>
      <c r="K11" s="6" t="s">
        <v>668</v>
      </c>
      <c r="L11" s="6" t="s">
        <v>669</v>
      </c>
      <c r="M11" s="13" t="str">
        <f>=Dashboard!O102</f>
        <v>Pending</v>
      </c>
      <c r="N11" s="6" t="str">
        <f>=Dashboard!Q102</f>
        <v>Checks fallback options</v>
      </c>
      <c r="O11" s="38">
        <v>46192</v>
      </c>
    </row>
  </sheetData>
  <autoFilter ref="A2:O11"/>
  <mergeCells count="1">
    <mergeCell ref="A1:O1"/>
  </mergeCells>
  <conditionalFormatting sqref="E3:E11">
    <cfRule type="cellIs" dxfId="117" priority="1" operator="equal">
      <formula>"Completed"</formula>
    </cfRule>
    <cfRule type="cellIs" dxfId="118" priority="2" operator="equal">
      <formula>"In Progress"</formula>
    </cfRule>
    <cfRule type="cellIs" dxfId="119" priority="3" operator="equal">
      <formula>"Review"</formula>
    </cfRule>
    <cfRule type="cellIs" dxfId="120" priority="4" operator="equal">
      <formula>"Blocked"</formula>
    </cfRule>
    <cfRule type="cellIs" dxfId="121" priority="5" operator="equal">
      <formula>"Not Started"</formula>
    </cfRule>
  </conditionalFormatting>
  <conditionalFormatting sqref="D3:D11">
    <cfRule type="cellIs" dxfId="122" priority="6" operator="equal">
      <formula>"Critical"</formula>
    </cfRule>
    <cfRule type="cellIs" dxfId="123" priority="7" operator="equal">
      <formula>"High"</formula>
    </cfRule>
    <cfRule type="cellIs" dxfId="124" priority="8" operator="equal">
      <formula>"Medium"</formula>
    </cfRule>
    <cfRule type="cellIs" dxfId="125" priority="9" operator="equal">
      <formula>"Low"</formula>
    </cfRule>
  </conditionalFormatting>
  <dataValidations count="4">
    <dataValidation type="list" allowBlank="1" sqref="D10:D11">
      <formula1>"Critical,High,Medium,Low"</formula1>
    </dataValidation>
    <dataValidation type="list" allowBlank="1" sqref="D3:D11">
      <formula1>"Critical,High,Medium,Low"</formula1>
    </dataValidation>
    <dataValidation type="list" allowBlank="1" sqref="E10:E11">
      <formula1>"Not Started,In Progress,Review,Completed,Blocked"</formula1>
    </dataValidation>
    <dataValidation type="list" allowBlank="1" sqref="E3:E11">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763</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=Dashboard!A103</f>
        <v>TASK-QA-001</v>
      </c>
      <c r="B3" s="6" t="str">
        <f>=Dashboard!C103</f>
        <v>Requirement traceability</v>
      </c>
      <c r="C3" s="6" t="str">
        <f>=Dashboard!D103</f>
        <v>Minha Palakkathodi</v>
      </c>
      <c r="D3" s="13" t="str">
        <f>=Dashboard!E103</f>
        <v>High</v>
      </c>
      <c r="E3" s="13" t="str">
        <f>=Dashboard!F103</f>
        <v>Not Started</v>
      </c>
      <c r="F3" s="13" t="str">
        <f>=Dashboard!H103</f>
        <v>Day 1</v>
      </c>
      <c r="G3" s="13" t="str">
        <f>=Dashboard!I103</f>
        <v>None</v>
      </c>
      <c r="H3" s="6" t="s">
        <v>673</v>
      </c>
      <c r="I3" s="6" t="s">
        <v>674</v>
      </c>
      <c r="J3" s="6" t="s">
        <v>675</v>
      </c>
      <c r="K3" s="6" t="s">
        <v>676</v>
      </c>
      <c r="L3" s="6" t="s">
        <v>677</v>
      </c>
      <c r="M3" s="13" t="str">
        <f>=Dashboard!O103</f>
        <v>Pending</v>
      </c>
      <c r="N3" s="6" t="str">
        <f>=Dashboard!Q103</f>
        <v>Traceability index setup</v>
      </c>
      <c r="O3" s="38">
        <v>46192</v>
      </c>
    </row>
    <row r="4" spans="1:15" x14ac:dyDescent="0.25">
      <c r="A4" s="15" t="str">
        <f>=Dashboard!A104</f>
        <v>TASK-QA-002</v>
      </c>
      <c r="B4" s="9" t="str">
        <f>=Dashboard!C104</f>
        <v>Test case creation</v>
      </c>
      <c r="C4" s="9" t="str">
        <f>=Dashboard!D104</f>
        <v>Minha Palakkathodi</v>
      </c>
      <c r="D4" s="15" t="str">
        <f>=Dashboard!E104</f>
        <v>High</v>
      </c>
      <c r="E4" s="15" t="str">
        <f>=Dashboard!F104</f>
        <v>Not Started</v>
      </c>
      <c r="F4" s="15" t="str">
        <f>=Dashboard!H104</f>
        <v>Day 2</v>
      </c>
      <c r="G4" s="15" t="str">
        <f>=Dashboard!I104</f>
        <v>TASK-QA-001</v>
      </c>
      <c r="H4" s="9" t="s">
        <v>681</v>
      </c>
      <c r="I4" s="9" t="s">
        <v>682</v>
      </c>
      <c r="J4" s="9" t="s">
        <v>683</v>
      </c>
      <c r="K4" s="9" t="s">
        <v>684</v>
      </c>
      <c r="L4" s="9" t="s">
        <v>677</v>
      </c>
      <c r="M4" s="15" t="str">
        <f>=Dashboard!O104</f>
        <v>Pending</v>
      </c>
      <c r="N4" s="9" t="str">
        <f>=Dashboard!Q104</f>
        <v>Manual check sheets ready</v>
      </c>
      <c r="O4" s="39">
        <v>46192</v>
      </c>
    </row>
    <row r="5" spans="1:15" x14ac:dyDescent="0.25">
      <c r="A5" s="13" t="str">
        <f>=Dashboard!A105</f>
        <v>TASK-QA-003</v>
      </c>
      <c r="B5" s="6" t="str">
        <f>=Dashboard!C105</f>
        <v>UAT preparation</v>
      </c>
      <c r="C5" s="6" t="str">
        <f>=Dashboard!D105</f>
        <v>Minha Palakkathodi</v>
      </c>
      <c r="D5" s="13" t="str">
        <f>=Dashboard!E105</f>
        <v>High</v>
      </c>
      <c r="E5" s="13" t="str">
        <f>=Dashboard!F105</f>
        <v>Not Started</v>
      </c>
      <c r="F5" s="13" t="str">
        <f>=Dashboard!H105</f>
        <v>Day 5</v>
      </c>
      <c r="G5" s="13" t="str">
        <f>=Dashboard!I105</f>
        <v>None</v>
      </c>
      <c r="H5" s="6" t="s">
        <v>688</v>
      </c>
      <c r="I5" s="6" t="s">
        <v>689</v>
      </c>
      <c r="J5" s="6" t="s">
        <v>690</v>
      </c>
      <c r="K5" s="6" t="s">
        <v>691</v>
      </c>
      <c r="L5" s="6" t="s">
        <v>677</v>
      </c>
      <c r="M5" s="13" t="str">
        <f>=Dashboard!O105</f>
        <v>Pending</v>
      </c>
      <c r="N5" s="6" t="str">
        <f>=Dashboard!Q105</f>
        <v>Acceptance checklist templates</v>
      </c>
      <c r="O5" s="38">
        <v>46192</v>
      </c>
    </row>
    <row r="6" spans="1:15" x14ac:dyDescent="0.25">
      <c r="A6" s="15" t="str">
        <f>=Dashboard!A106</f>
        <v>TASK-QA-004</v>
      </c>
      <c r="B6" s="9" t="str">
        <f>=Dashboard!C106</f>
        <v>Documentation review</v>
      </c>
      <c r="C6" s="9" t="str">
        <f>=Dashboard!D106</f>
        <v>Minha Palakkathodi</v>
      </c>
      <c r="D6" s="15" t="str">
        <f>=Dashboard!E106</f>
        <v>Medium</v>
      </c>
      <c r="E6" s="15" t="str">
        <f>=Dashboard!F106</f>
        <v>Not Started</v>
      </c>
      <c r="F6" s="15" t="str">
        <f>=Dashboard!H106</f>
        <v>Day 7</v>
      </c>
      <c r="G6" s="15" t="str">
        <f>=Dashboard!I106</f>
        <v>None</v>
      </c>
      <c r="H6" s="9" t="s">
        <v>695</v>
      </c>
      <c r="I6" s="9" t="s">
        <v>696</v>
      </c>
      <c r="J6" s="9" t="s">
        <v>697</v>
      </c>
      <c r="K6" s="9" t="s">
        <v>698</v>
      </c>
      <c r="L6" s="9" t="s">
        <v>677</v>
      </c>
      <c r="M6" s="15" t="str">
        <f>=Dashboard!O106</f>
        <v>Pending</v>
      </c>
      <c r="N6" s="9" t="str">
        <f>=Dashboard!Q106</f>
        <v>Checks repository documents integrity</v>
      </c>
      <c r="O6" s="39">
        <v>46192</v>
      </c>
    </row>
    <row r="7" spans="1:15" x14ac:dyDescent="0.25">
      <c r="A7" s="13" t="str">
        <f>=Dashboard!A107</f>
        <v>TASK-QA-005</v>
      </c>
      <c r="B7" s="6" t="str">
        <f>=Dashboard!C107</f>
        <v>Security checklist review</v>
      </c>
      <c r="C7" s="6" t="str">
        <f>=Dashboard!D107</f>
        <v>Minha Palakkathodi</v>
      </c>
      <c r="D7" s="13" t="str">
        <f>=Dashboard!E107</f>
        <v>High</v>
      </c>
      <c r="E7" s="13" t="str">
        <f>=Dashboard!F107</f>
        <v>Not Started</v>
      </c>
      <c r="F7" s="13" t="str">
        <f>=Dashboard!H107</f>
        <v>Day 7</v>
      </c>
      <c r="G7" s="13" t="str">
        <f>=Dashboard!I107</f>
        <v>None</v>
      </c>
      <c r="H7" s="6" t="s">
        <v>702</v>
      </c>
      <c r="I7" s="6" t="s">
        <v>703</v>
      </c>
      <c r="J7" s="6" t="s">
        <v>704</v>
      </c>
      <c r="K7" s="6" t="s">
        <v>705</v>
      </c>
      <c r="L7" s="6" t="s">
        <v>669</v>
      </c>
      <c r="M7" s="13" t="str">
        <f>=Dashboard!O107</f>
        <v>Pending</v>
      </c>
      <c r="N7" s="6" t="str">
        <f>=Dashboard!Q107</f>
        <v>Checks details audits validation</v>
      </c>
      <c r="O7" s="38">
        <v>46192</v>
      </c>
    </row>
    <row r="8" spans="1:15" x14ac:dyDescent="0.25">
      <c r="A8" s="15" t="str">
        <f>=Dashboard!A108</f>
        <v>TASK-QA-006</v>
      </c>
      <c r="B8" s="9" t="str">
        <f>=Dashboard!C108</f>
        <v>QA reports</v>
      </c>
      <c r="C8" s="9" t="str">
        <f>=Dashboard!D108</f>
        <v>Minha Palakkathodi</v>
      </c>
      <c r="D8" s="15" t="str">
        <f>=Dashboard!E108</f>
        <v>Medium</v>
      </c>
      <c r="E8" s="15" t="str">
        <f>=Dashboard!F108</f>
        <v>Not Started</v>
      </c>
      <c r="F8" s="15" t="str">
        <f>=Dashboard!H108</f>
        <v>Day 6</v>
      </c>
      <c r="G8" s="15" t="str">
        <f>=Dashboard!I108</f>
        <v>None</v>
      </c>
      <c r="H8" s="9" t="s">
        <v>709</v>
      </c>
      <c r="I8" s="9" t="s">
        <v>710</v>
      </c>
      <c r="J8" s="9" t="s">
        <v>711</v>
      </c>
      <c r="K8" s="9" t="s">
        <v>712</v>
      </c>
      <c r="L8" s="9" t="s">
        <v>677</v>
      </c>
      <c r="M8" s="15" t="str">
        <f>=Dashboard!O108</f>
        <v>Pending</v>
      </c>
      <c r="N8" s="9" t="str">
        <f>=Dashboard!Q108</f>
        <v>Test pass metrics logs summary</v>
      </c>
      <c r="O8" s="39">
        <v>46192</v>
      </c>
    </row>
    <row r="9" spans="1:15" x14ac:dyDescent="0.25">
      <c r="A9" s="13" t="str">
        <f>=Dashboard!A109</f>
        <v>TASK-QA-007</v>
      </c>
      <c r="B9" s="6" t="str">
        <f>=Dashboard!C109</f>
        <v>Bug verification</v>
      </c>
      <c r="C9" s="6" t="str">
        <f>=Dashboard!D109</f>
        <v>Minha Palakkathodi</v>
      </c>
      <c r="D9" s="13" t="str">
        <f>=Dashboard!E109</f>
        <v>High</v>
      </c>
      <c r="E9" s="13" t="str">
        <f>=Dashboard!F109</f>
        <v>Not Started</v>
      </c>
      <c r="F9" s="13" t="str">
        <f>=Dashboard!H109</f>
        <v>Day 6</v>
      </c>
      <c r="G9" s="13" t="str">
        <f>=Dashboard!I109</f>
        <v>None</v>
      </c>
      <c r="H9" s="6" t="s">
        <v>716</v>
      </c>
      <c r="I9" s="6" t="s">
        <v>717</v>
      </c>
      <c r="J9" s="6" t="s">
        <v>718</v>
      </c>
      <c r="K9" s="6" t="s">
        <v>719</v>
      </c>
      <c r="L9" s="6" t="s">
        <v>677</v>
      </c>
      <c r="M9" s="13" t="str">
        <f>=Dashboard!O109</f>
        <v>Pending</v>
      </c>
      <c r="N9" s="6" t="str">
        <f>=Dashboard!Q109</f>
        <v>Verify fix statuses</v>
      </c>
      <c r="O9" s="38">
        <v>46192</v>
      </c>
    </row>
    <row r="10" spans="1:15" x14ac:dyDescent="0.25">
      <c r="A10" s="15" t="str">
        <f>=Dashboard!A110</f>
        <v>TASK-QA-008</v>
      </c>
      <c r="B10" s="9" t="str">
        <f>=Dashboard!C110</f>
        <v>Final documentation</v>
      </c>
      <c r="C10" s="9" t="str">
        <f>=Dashboard!D110</f>
        <v>Minha Palakkathodi</v>
      </c>
      <c r="D10" s="15" t="str">
        <f>=Dashboard!E110</f>
        <v>High</v>
      </c>
      <c r="E10" s="15" t="str">
        <f>=Dashboard!F110</f>
        <v>Not Started</v>
      </c>
      <c r="F10" s="15" t="str">
        <f>=Dashboard!H110</f>
        <v>Day 7</v>
      </c>
      <c r="G10" s="15" t="str">
        <f>=Dashboard!I110</f>
        <v>None</v>
      </c>
      <c r="H10" s="9" t="s">
        <v>723</v>
      </c>
      <c r="I10" s="9" t="s">
        <v>724</v>
      </c>
      <c r="J10" s="9" t="s">
        <v>725</v>
      </c>
      <c r="K10" s="9" t="s">
        <v>726</v>
      </c>
      <c r="L10" s="9" t="s">
        <v>677</v>
      </c>
      <c r="M10" s="15" t="str">
        <f>=Dashboard!O110</f>
        <v>Pending</v>
      </c>
      <c r="N10" s="9" t="str">
        <f>=Dashboard!Q110</f>
        <v>Complete architecture references</v>
      </c>
      <c r="O10" s="39">
        <v>46192</v>
      </c>
    </row>
    <row r="11" spans="1:15" x14ac:dyDescent="0.25">
      <c r="A11" s="13" t="str">
        <f>=Dashboard!A111</f>
        <v>TASK-QA-009</v>
      </c>
      <c r="B11" s="6" t="str">
        <f>=Dashboard!C111</f>
        <v>Handover documentation</v>
      </c>
      <c r="C11" s="6" t="str">
        <f>=Dashboard!D111</f>
        <v>Minha Palakkathodi</v>
      </c>
      <c r="D11" s="13" t="str">
        <f>=Dashboard!E111</f>
        <v>High</v>
      </c>
      <c r="E11" s="13" t="str">
        <f>=Dashboard!F111</f>
        <v>Not Started</v>
      </c>
      <c r="F11" s="13" t="str">
        <f>=Dashboard!H111</f>
        <v>Day 7</v>
      </c>
      <c r="G11" s="13" t="str">
        <f>=Dashboard!I111</f>
        <v>TASK-QA-008</v>
      </c>
      <c r="H11" s="6" t="s">
        <v>730</v>
      </c>
      <c r="I11" s="6" t="s">
        <v>731</v>
      </c>
      <c r="J11" s="6" t="s">
        <v>732</v>
      </c>
      <c r="K11" s="6" t="s">
        <v>733</v>
      </c>
      <c r="L11" s="6" t="s">
        <v>734</v>
      </c>
      <c r="M11" s="13" t="str">
        <f>=Dashboard!O111</f>
        <v>Pending</v>
      </c>
      <c r="N11" s="6" t="str">
        <f>=Dashboard!Q111</f>
        <v>Log logins and operational keys handover structures</v>
      </c>
      <c r="O11" s="38">
        <v>46192</v>
      </c>
    </row>
  </sheetData>
  <autoFilter ref="A2:O11"/>
  <mergeCells count="1">
    <mergeCell ref="A1:O1"/>
  </mergeCells>
  <conditionalFormatting sqref="E3:E11">
    <cfRule type="cellIs" dxfId="126" priority="1" operator="equal">
      <formula>"Completed"</formula>
    </cfRule>
    <cfRule type="cellIs" dxfId="127" priority="2" operator="equal">
      <formula>"In Progress"</formula>
    </cfRule>
    <cfRule type="cellIs" dxfId="128" priority="3" operator="equal">
      <formula>"Review"</formula>
    </cfRule>
    <cfRule type="cellIs" dxfId="129" priority="4" operator="equal">
      <formula>"Blocked"</formula>
    </cfRule>
    <cfRule type="cellIs" dxfId="130" priority="5" operator="equal">
      <formula>"Not Started"</formula>
    </cfRule>
  </conditionalFormatting>
  <conditionalFormatting sqref="D3:D11">
    <cfRule type="cellIs" dxfId="131" priority="6" operator="equal">
      <formula>"Critical"</formula>
    </cfRule>
    <cfRule type="cellIs" dxfId="132" priority="7" operator="equal">
      <formula>"High"</formula>
    </cfRule>
    <cfRule type="cellIs" dxfId="133" priority="8" operator="equal">
      <formula>"Medium"</formula>
    </cfRule>
    <cfRule type="cellIs" dxfId="134" priority="9" operator="equal">
      <formula>"Low"</formula>
    </cfRule>
  </conditionalFormatting>
  <dataValidations count="4">
    <dataValidation type="list" allowBlank="1" sqref="D10:D11">
      <formula1>"Critical,High,Medium,Low"</formula1>
    </dataValidation>
    <dataValidation type="list" allowBlank="1" sqref="D3:D11">
      <formula1>"Critical,High,Medium,Low"</formula1>
    </dataValidation>
    <dataValidation type="list" allowBlank="1" sqref="E10:E11">
      <formula1>"Not Started,In Progress,Review,Completed,Blocked"</formula1>
    </dataValidation>
    <dataValidation type="list" allowBlank="1" sqref="E3:E11">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pane ySplit="2" topLeftCell="A3" activePane="bottomLeft" state="frozen"/>
      <selection pane="bottomLeft"/>
    </sheetView>
  </sheetViews>
  <sheetFormatPr defaultRowHeight="15" outlineLevelRow="0" outlineLevelCol="0" x14ac:dyDescent="55"/>
  <cols>
    <col min="1" max="8" width="40" customWidth="1"/>
    <col min="9" max="9" width="60" customWidth="1"/>
    <col min="10" max="10" width="25" customWidth="1"/>
    <col min="11" max="11" width="30" customWidth="1"/>
    <col min="12" max="12" width="45" customWidth="1"/>
    <col min="13" max="15" width="40" customWidth="1"/>
  </cols>
  <sheetData>
    <row r="1" ht="24" customHeight="1" spans="1:15" x14ac:dyDescent="0.25">
      <c r="A1" s="37" t="s">
        <v>764</v>
      </c>
      <c r="B1" s="37"/>
      <c r="C1" s="37"/>
      <c r="D1" s="37"/>
      <c r="E1" s="37"/>
      <c r="F1" s="37"/>
      <c r="G1" s="37"/>
      <c r="H1" s="37"/>
      <c r="I1" s="37"/>
      <c r="J1" s="37"/>
      <c r="K1" s="37"/>
      <c r="L1" s="37"/>
      <c r="M1" s="37"/>
      <c r="N1" s="37"/>
      <c r="O1" s="37"/>
    </row>
    <row r="2" ht="26" customHeight="1" spans="1:15" x14ac:dyDescent="0.25">
      <c r="A2" s="12" t="s">
        <v>43</v>
      </c>
      <c r="B2" s="12" t="s">
        <v>45</v>
      </c>
      <c r="C2" s="12" t="s">
        <v>46</v>
      </c>
      <c r="D2" s="12" t="s">
        <v>47</v>
      </c>
      <c r="E2" s="12" t="s">
        <v>48</v>
      </c>
      <c r="F2" s="12" t="s">
        <v>50</v>
      </c>
      <c r="G2" s="12" t="s">
        <v>51</v>
      </c>
      <c r="H2" s="12" t="s">
        <v>52</v>
      </c>
      <c r="I2" s="12" t="s">
        <v>53</v>
      </c>
      <c r="J2" s="12" t="s">
        <v>54</v>
      </c>
      <c r="K2" s="12" t="s">
        <v>55</v>
      </c>
      <c r="L2" s="12" t="s">
        <v>56</v>
      </c>
      <c r="M2" s="12" t="s">
        <v>57</v>
      </c>
      <c r="N2" s="12" t="s">
        <v>59</v>
      </c>
      <c r="O2" s="12" t="s">
        <v>758</v>
      </c>
    </row>
    <row r="3" spans="1:15" x14ac:dyDescent="0.25">
      <c r="A3" s="13" t="str">
        <f>=Dashboard!A16</f>
        <v>TASK-INF-001</v>
      </c>
      <c r="B3" s="6" t="str">
        <f>=Dashboard!C16</f>
        <v>Repository verification</v>
      </c>
      <c r="C3" s="6" t="str">
        <f>=Dashboard!D16</f>
        <v>Adithyan N + Muhammad Sanish</v>
      </c>
      <c r="D3" s="13" t="str">
        <f>=Dashboard!E16</f>
        <v>High</v>
      </c>
      <c r="E3" s="13" t="str">
        <f>=Dashboard!F16</f>
        <v>Not Started</v>
      </c>
      <c r="F3" s="13" t="str">
        <f>=Dashboard!H16</f>
        <v>Sprint 0</v>
      </c>
      <c r="G3" s="13" t="str">
        <f>=Dashboard!I16</f>
        <v>None</v>
      </c>
      <c r="H3" s="6" t="s">
        <v>67</v>
      </c>
      <c r="I3" s="6" t="s">
        <v>68</v>
      </c>
      <c r="J3" s="6" t="s">
        <v>69</v>
      </c>
      <c r="K3" s="6" t="s">
        <v>70</v>
      </c>
      <c r="L3" s="6" t="s">
        <v>71</v>
      </c>
      <c r="M3" s="13" t="str">
        <f>=Dashboard!O16</f>
        <v>Pending</v>
      </c>
      <c r="N3" s="6" t="str">
        <f>=Dashboard!Q16</f>
        <v>Check configuration files integrity</v>
      </c>
      <c r="O3" s="38">
        <v>46192</v>
      </c>
    </row>
    <row r="4" spans="1:15" x14ac:dyDescent="0.25">
      <c r="A4" s="15" t="str">
        <f>=Dashboard!A17</f>
        <v>TASK-INF-002</v>
      </c>
      <c r="B4" s="9" t="str">
        <f>=Dashboard!C17</f>
        <v>Git workflow setup</v>
      </c>
      <c r="C4" s="9" t="str">
        <f>=Dashboard!D17</f>
        <v>Adithyan N</v>
      </c>
      <c r="D4" s="15" t="str">
        <f>=Dashboard!E17</f>
        <v>High</v>
      </c>
      <c r="E4" s="15" t="str">
        <f>=Dashboard!F17</f>
        <v>Not Started</v>
      </c>
      <c r="F4" s="15" t="str">
        <f>=Dashboard!H17</f>
        <v>Sprint 0</v>
      </c>
      <c r="G4" s="15" t="str">
        <f>=Dashboard!I17</f>
        <v>None</v>
      </c>
      <c r="H4" s="9" t="s">
        <v>76</v>
      </c>
      <c r="I4" s="9" t="s">
        <v>77</v>
      </c>
      <c r="J4" s="9" t="s">
        <v>78</v>
      </c>
      <c r="K4" s="9" t="s">
        <v>79</v>
      </c>
      <c r="L4" s="9" t="s">
        <v>80</v>
      </c>
      <c r="M4" s="15" t="str">
        <f>=Dashboard!O17</f>
        <v>Pending</v>
      </c>
      <c r="N4" s="9" t="str">
        <f>=Dashboard!Q17</f>
        <v>Main/develop/feature branching rules</v>
      </c>
      <c r="O4" s="39">
        <v>46192</v>
      </c>
    </row>
    <row r="5" spans="1:15" x14ac:dyDescent="0.25">
      <c r="A5" s="13" t="str">
        <f>=Dashboard!A18</f>
        <v>TASK-INF-003</v>
      </c>
      <c r="B5" s="6" t="str">
        <f>=Dashboard!C18</f>
        <v>Branch setup</v>
      </c>
      <c r="C5" s="6" t="str">
        <f>=Dashboard!D18</f>
        <v>Adithyan N</v>
      </c>
      <c r="D5" s="13" t="str">
        <f>=Dashboard!E18</f>
        <v>High</v>
      </c>
      <c r="E5" s="13" t="str">
        <f>=Dashboard!F18</f>
        <v>Not Started</v>
      </c>
      <c r="F5" s="13" t="str">
        <f>=Dashboard!H18</f>
        <v>Sprint 0</v>
      </c>
      <c r="G5" s="13" t="str">
        <f>=Dashboard!I18</f>
        <v>TASK-INF-002</v>
      </c>
      <c r="H5" s="6" t="s">
        <v>84</v>
      </c>
      <c r="I5" s="6" t="s">
        <v>85</v>
      </c>
      <c r="J5" s="6" t="s">
        <v>86</v>
      </c>
      <c r="K5" s="6" t="s">
        <v>87</v>
      </c>
      <c r="L5" s="6" t="s">
        <v>80</v>
      </c>
      <c r="M5" s="13" t="str">
        <f>=Dashboard!O18</f>
        <v>Pending</v>
      </c>
      <c r="N5" s="6" t="str">
        <f>=Dashboard!Q18</f>
        <v>Initial pull request guidelines set</v>
      </c>
      <c r="O5" s="38">
        <v>46192</v>
      </c>
    </row>
    <row r="6" spans="1:15" x14ac:dyDescent="0.25">
      <c r="A6" s="15" t="str">
        <f>=Dashboard!A19</f>
        <v>TASK-INF-004</v>
      </c>
      <c r="B6" s="9" t="str">
        <f>=Dashboard!C19</f>
        <v>MongoDB Atlas setup</v>
      </c>
      <c r="C6" s="9" t="str">
        <f>=Dashboard!D19</f>
        <v>Adithyan N</v>
      </c>
      <c r="D6" s="15" t="str">
        <f>=Dashboard!E19</f>
        <v>Critical</v>
      </c>
      <c r="E6" s="15" t="str">
        <f>=Dashboard!F19</f>
        <v>Not Started</v>
      </c>
      <c r="F6" s="15" t="str">
        <f>=Dashboard!H19</f>
        <v>Sprint 0</v>
      </c>
      <c r="G6" s="15" t="str">
        <f>=Dashboard!I19</f>
        <v>None</v>
      </c>
      <c r="H6" s="9" t="s">
        <v>92</v>
      </c>
      <c r="I6" s="9" t="s">
        <v>93</v>
      </c>
      <c r="J6" s="9" t="s">
        <v>94</v>
      </c>
      <c r="K6" s="9" t="s">
        <v>95</v>
      </c>
      <c r="L6" s="9" t="s">
        <v>96</v>
      </c>
      <c r="M6" s="15" t="str">
        <f>=Dashboard!O19</f>
        <v>Pending</v>
      </c>
      <c r="N6" s="9" t="str">
        <f>=Dashboard!Q19</f>
        <v>IP whitelist rules configured</v>
      </c>
      <c r="O6" s="39">
        <v>46192</v>
      </c>
    </row>
    <row r="7" spans="1:15" x14ac:dyDescent="0.25">
      <c r="A7" s="13" t="str">
        <f>=Dashboard!A20</f>
        <v>TASK-INF-005</v>
      </c>
      <c r="B7" s="6" t="str">
        <f>=Dashboard!C20</f>
        <v>Environment variables</v>
      </c>
      <c r="C7" s="6" t="str">
        <f>=Dashboard!D20</f>
        <v>Muhammad Sanish</v>
      </c>
      <c r="D7" s="13" t="str">
        <f>=Dashboard!E20</f>
        <v>High</v>
      </c>
      <c r="E7" s="13" t="str">
        <f>=Dashboard!F20</f>
        <v>Not Started</v>
      </c>
      <c r="F7" s="13" t="str">
        <f>=Dashboard!H20</f>
        <v>Sprint 0</v>
      </c>
      <c r="G7" s="13" t="str">
        <f>=Dashboard!I20</f>
        <v>None</v>
      </c>
      <c r="H7" s="6" t="s">
        <v>100</v>
      </c>
      <c r="I7" s="6" t="s">
        <v>101</v>
      </c>
      <c r="J7" s="6" t="s">
        <v>102</v>
      </c>
      <c r="K7" s="6" t="s">
        <v>103</v>
      </c>
      <c r="L7" s="6" t="s">
        <v>71</v>
      </c>
      <c r="M7" s="13" t="str">
        <f>=Dashboard!O20</f>
        <v>Pending</v>
      </c>
      <c r="N7" s="6" t="str">
        <f>=Dashboard!Q20</f>
        <v>No secrets checked in</v>
      </c>
      <c r="O7" s="38">
        <v>46192</v>
      </c>
    </row>
    <row r="8" spans="1:15" x14ac:dyDescent="0.25">
      <c r="A8" s="15" t="str">
        <f>=Dashboard!A21</f>
        <v>TASK-INF-006</v>
      </c>
      <c r="B8" s="9" t="str">
        <f>=Dashboard!C21</f>
        <v>ESLint</v>
      </c>
      <c r="C8" s="9" t="str">
        <f>=Dashboard!D21</f>
        <v>Adithyan N</v>
      </c>
      <c r="D8" s="15" t="str">
        <f>=Dashboard!E21</f>
        <v>Medium</v>
      </c>
      <c r="E8" s="15" t="str">
        <f>=Dashboard!F21</f>
        <v>Not Started</v>
      </c>
      <c r="F8" s="15" t="str">
        <f>=Dashboard!H21</f>
        <v>Sprint 0</v>
      </c>
      <c r="G8" s="15" t="str">
        <f>=Dashboard!I21</f>
        <v>None</v>
      </c>
      <c r="H8" s="9" t="s">
        <v>108</v>
      </c>
      <c r="I8" s="9" t="s">
        <v>109</v>
      </c>
      <c r="J8" s="9" t="s">
        <v>110</v>
      </c>
      <c r="K8" s="9" t="s">
        <v>111</v>
      </c>
      <c r="L8" s="9" t="s">
        <v>71</v>
      </c>
      <c r="M8" s="15" t="str">
        <f>=Dashboard!O21</f>
        <v>Pending</v>
      </c>
      <c r="N8" s="9" t="str">
        <f>=Dashboard!Q21</f>
        <v>Static code styling checks active</v>
      </c>
      <c r="O8" s="39">
        <v>46192</v>
      </c>
    </row>
    <row r="9" spans="1:15" x14ac:dyDescent="0.25">
      <c r="A9" s="13" t="str">
        <f>=Dashboard!A22</f>
        <v>TASK-INF-007</v>
      </c>
      <c r="B9" s="6" t="str">
        <f>=Dashboard!C22</f>
        <v>Prettier</v>
      </c>
      <c r="C9" s="6" t="str">
        <f>=Dashboard!D22</f>
        <v>Adithyan N</v>
      </c>
      <c r="D9" s="13" t="str">
        <f>=Dashboard!E22</f>
        <v>Medium</v>
      </c>
      <c r="E9" s="13" t="str">
        <f>=Dashboard!F22</f>
        <v>Not Started</v>
      </c>
      <c r="F9" s="13" t="str">
        <f>=Dashboard!H22</f>
        <v>Sprint 0</v>
      </c>
      <c r="G9" s="13" t="str">
        <f>=Dashboard!I22</f>
        <v>None</v>
      </c>
      <c r="H9" s="6" t="s">
        <v>115</v>
      </c>
      <c r="I9" s="6" t="s">
        <v>116</v>
      </c>
      <c r="J9" s="6" t="s">
        <v>117</v>
      </c>
      <c r="K9" s="6" t="s">
        <v>118</v>
      </c>
      <c r="L9" s="6" t="s">
        <v>71</v>
      </c>
      <c r="M9" s="13" t="str">
        <f>=Dashboard!O22</f>
        <v>Pending</v>
      </c>
      <c r="N9" s="6" t="str">
        <f>=Dashboard!Q22</f>
        <v>Auto format on save verified</v>
      </c>
      <c r="O9" s="38">
        <v>46192</v>
      </c>
    </row>
    <row r="10" spans="1:15" x14ac:dyDescent="0.25">
      <c r="A10" s="15" t="str">
        <f>=Dashboard!A23</f>
        <v>TASK-INF-008</v>
      </c>
      <c r="B10" s="9" t="str">
        <f>=Dashboard!C23</f>
        <v>Logging infrastructure</v>
      </c>
      <c r="C10" s="9" t="str">
        <f>=Dashboard!D23</f>
        <v>Muhammad Sanish</v>
      </c>
      <c r="D10" s="15" t="str">
        <f>=Dashboard!E23</f>
        <v>Medium</v>
      </c>
      <c r="E10" s="15" t="str">
        <f>=Dashboard!F23</f>
        <v>Not Started</v>
      </c>
      <c r="F10" s="15" t="str">
        <f>=Dashboard!H23</f>
        <v>Day 1</v>
      </c>
      <c r="G10" s="15" t="str">
        <f>=Dashboard!I23</f>
        <v>TASK-INF-005</v>
      </c>
      <c r="H10" s="9" t="s">
        <v>122</v>
      </c>
      <c r="I10" s="9" t="s">
        <v>123</v>
      </c>
      <c r="J10" s="9" t="s">
        <v>124</v>
      </c>
      <c r="K10" s="9" t="s">
        <v>125</v>
      </c>
      <c r="L10" s="9" t="s">
        <v>71</v>
      </c>
      <c r="M10" s="15" t="str">
        <f>=Dashboard!O23</f>
        <v>Pending</v>
      </c>
      <c r="N10" s="9" t="str">
        <f>=Dashboard!Q23</f>
        <v>PII credentials redact scripts applied</v>
      </c>
      <c r="O10" s="39">
        <v>46192</v>
      </c>
    </row>
    <row r="11" spans="1:15" x14ac:dyDescent="0.25">
      <c r="A11" s="13" t="str">
        <f>=Dashboard!A24</f>
        <v>TASK-INF-009</v>
      </c>
      <c r="B11" s="6" t="str">
        <f>=Dashboard!C24</f>
        <v>Deployment preparation</v>
      </c>
      <c r="C11" s="6" t="str">
        <f>=Dashboard!D24</f>
        <v>Adithyan N + Muhammad Sanish</v>
      </c>
      <c r="D11" s="13" t="str">
        <f>=Dashboard!E24</f>
        <v>Medium</v>
      </c>
      <c r="E11" s="13" t="str">
        <f>=Dashboard!F24</f>
        <v>Not Started</v>
      </c>
      <c r="F11" s="13" t="str">
        <f>=Dashboard!H24</f>
        <v>Day 7</v>
      </c>
      <c r="G11" s="13" t="str">
        <f>=Dashboard!I24</f>
        <v>None</v>
      </c>
      <c r="H11" s="6" t="s">
        <v>130</v>
      </c>
      <c r="I11" s="6" t="s">
        <v>131</v>
      </c>
      <c r="J11" s="6" t="s">
        <v>132</v>
      </c>
      <c r="K11" s="6" t="s">
        <v>133</v>
      </c>
      <c r="L11" s="6" t="s">
        <v>71</v>
      </c>
      <c r="M11" s="13" t="str">
        <f>=Dashboard!O24</f>
        <v>Pending</v>
      </c>
      <c r="N11" s="6" t="str">
        <f>=Dashboard!Q24</f>
        <v>Production CORS policies configured</v>
      </c>
      <c r="O11" s="38">
        <v>46192</v>
      </c>
    </row>
  </sheetData>
  <autoFilter ref="A2:O11"/>
  <mergeCells count="1">
    <mergeCell ref="A1:O1"/>
  </mergeCells>
  <conditionalFormatting sqref="E3:E11">
    <cfRule type="cellIs" dxfId="135" priority="1" operator="equal">
      <formula>"Completed"</formula>
    </cfRule>
    <cfRule type="cellIs" dxfId="136" priority="2" operator="equal">
      <formula>"In Progress"</formula>
    </cfRule>
    <cfRule type="cellIs" dxfId="137" priority="3" operator="equal">
      <formula>"Review"</formula>
    </cfRule>
    <cfRule type="cellIs" dxfId="138" priority="4" operator="equal">
      <formula>"Blocked"</formula>
    </cfRule>
    <cfRule type="cellIs" dxfId="139" priority="5" operator="equal">
      <formula>"Not Started"</formula>
    </cfRule>
  </conditionalFormatting>
  <conditionalFormatting sqref="D3:D11">
    <cfRule type="cellIs" dxfId="140" priority="6" operator="equal">
      <formula>"Critical"</formula>
    </cfRule>
    <cfRule type="cellIs" dxfId="141" priority="7" operator="equal">
      <formula>"High"</formula>
    </cfRule>
    <cfRule type="cellIs" dxfId="142" priority="8" operator="equal">
      <formula>"Medium"</formula>
    </cfRule>
    <cfRule type="cellIs" dxfId="143" priority="9" operator="equal">
      <formula>"Low"</formula>
    </cfRule>
  </conditionalFormatting>
  <dataValidations count="4">
    <dataValidation type="list" allowBlank="1" sqref="D10:D11">
      <formula1>"Critical,High,Medium,Low"</formula1>
    </dataValidation>
    <dataValidation type="list" allowBlank="1" sqref="D3:D11">
      <formula1>"Critical,High,Medium,Low"</formula1>
    </dataValidation>
    <dataValidation type="list" allowBlank="1" sqref="E10:E11">
      <formula1>"Not Started,In Progress,Review,Completed,Blocked"</formula1>
    </dataValidation>
    <dataValidation type="list" allowBlank="1" sqref="E3:E11">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2" topLeftCell="A3" activePane="bottomLeft" state="frozen"/>
      <selection pane="bottomLeft"/>
    </sheetView>
  </sheetViews>
  <sheetFormatPr defaultRowHeight="15" outlineLevelRow="0" outlineLevelCol="0" x14ac:dyDescent="55"/>
  <cols>
    <col min="1" max="8" width="40" customWidth="1"/>
  </cols>
  <sheetData>
    <row r="1" ht="24" customHeight="1" spans="1:8" x14ac:dyDescent="0.25">
      <c r="A1" s="40" t="s">
        <v>765</v>
      </c>
      <c r="B1" s="40"/>
      <c r="C1" s="40"/>
      <c r="D1" s="40"/>
      <c r="E1" s="40"/>
      <c r="F1" s="40"/>
      <c r="G1" s="40"/>
      <c r="H1" s="40"/>
    </row>
    <row r="2" ht="26" customHeight="1" spans="1:8" x14ac:dyDescent="0.25">
      <c r="A2" s="12" t="s">
        <v>766</v>
      </c>
      <c r="B2" s="12" t="s">
        <v>767</v>
      </c>
      <c r="C2" s="12" t="s">
        <v>768</v>
      </c>
      <c r="D2" s="12" t="s">
        <v>769</v>
      </c>
      <c r="E2" s="12" t="s">
        <v>770</v>
      </c>
      <c r="F2" s="12" t="s">
        <v>48</v>
      </c>
      <c r="G2" s="12" t="s">
        <v>46</v>
      </c>
      <c r="H2" s="12" t="s">
        <v>771</v>
      </c>
    </row>
    <row r="3" spans="1:8" x14ac:dyDescent="0.25">
      <c r="A3" s="13" t="s">
        <v>772</v>
      </c>
      <c r="B3" s="6" t="s">
        <v>27</v>
      </c>
      <c r="C3" s="6" t="s">
        <v>24</v>
      </c>
      <c r="D3" s="6" t="s">
        <v>773</v>
      </c>
      <c r="E3" s="6" t="s">
        <v>774</v>
      </c>
      <c r="F3" s="13" t="s">
        <v>65</v>
      </c>
      <c r="G3" s="13" t="s">
        <v>26</v>
      </c>
      <c r="H3" s="6" t="s">
        <v>775</v>
      </c>
    </row>
    <row r="4" spans="1:8" x14ac:dyDescent="0.25">
      <c r="A4" s="15" t="s">
        <v>776</v>
      </c>
      <c r="B4" s="9" t="s">
        <v>27</v>
      </c>
      <c r="C4" s="9" t="s">
        <v>24</v>
      </c>
      <c r="D4" s="9" t="s">
        <v>777</v>
      </c>
      <c r="E4" s="9" t="s">
        <v>778</v>
      </c>
      <c r="F4" s="15" t="s">
        <v>65</v>
      </c>
      <c r="G4" s="15" t="s">
        <v>26</v>
      </c>
      <c r="H4" s="9" t="s">
        <v>779</v>
      </c>
    </row>
    <row r="5" spans="1:8" x14ac:dyDescent="0.25">
      <c r="A5" s="13" t="s">
        <v>780</v>
      </c>
      <c r="B5" s="6" t="s">
        <v>27</v>
      </c>
      <c r="C5" s="6" t="s">
        <v>24</v>
      </c>
      <c r="D5" s="6" t="s">
        <v>781</v>
      </c>
      <c r="E5" s="6" t="s">
        <v>782</v>
      </c>
      <c r="F5" s="13" t="s">
        <v>65</v>
      </c>
      <c r="G5" s="13" t="s">
        <v>26</v>
      </c>
      <c r="H5" s="6" t="s">
        <v>783</v>
      </c>
    </row>
    <row r="6" spans="1:8" x14ac:dyDescent="0.25">
      <c r="A6" s="15" t="s">
        <v>784</v>
      </c>
      <c r="B6" s="9" t="s">
        <v>27</v>
      </c>
      <c r="C6" s="9" t="s">
        <v>24</v>
      </c>
      <c r="D6" s="9" t="s">
        <v>785</v>
      </c>
      <c r="E6" s="9" t="s">
        <v>786</v>
      </c>
      <c r="F6" s="15" t="s">
        <v>65</v>
      </c>
      <c r="G6" s="15" t="s">
        <v>26</v>
      </c>
      <c r="H6" s="9" t="s">
        <v>787</v>
      </c>
    </row>
    <row r="7" spans="1:8" x14ac:dyDescent="0.25">
      <c r="A7" s="13" t="s">
        <v>788</v>
      </c>
      <c r="B7" s="6" t="s">
        <v>24</v>
      </c>
      <c r="C7" s="6" t="s">
        <v>30</v>
      </c>
      <c r="D7" s="6" t="s">
        <v>789</v>
      </c>
      <c r="E7" s="6" t="s">
        <v>790</v>
      </c>
      <c r="F7" s="13" t="s">
        <v>65</v>
      </c>
      <c r="G7" s="13" t="s">
        <v>32</v>
      </c>
      <c r="H7" s="6" t="s">
        <v>791</v>
      </c>
    </row>
    <row r="8" spans="1:8" x14ac:dyDescent="0.25">
      <c r="A8" s="15" t="s">
        <v>792</v>
      </c>
      <c r="B8" s="9" t="s">
        <v>24</v>
      </c>
      <c r="C8" s="9" t="s">
        <v>793</v>
      </c>
      <c r="D8" s="9" t="s">
        <v>794</v>
      </c>
      <c r="E8" s="9" t="s">
        <v>795</v>
      </c>
      <c r="F8" s="15" t="s">
        <v>65</v>
      </c>
      <c r="G8" s="15" t="s">
        <v>32</v>
      </c>
      <c r="H8" s="9" t="s">
        <v>796</v>
      </c>
    </row>
    <row r="9" spans="1:8" x14ac:dyDescent="0.25">
      <c r="A9" s="13" t="s">
        <v>797</v>
      </c>
      <c r="B9" s="6" t="s">
        <v>24</v>
      </c>
      <c r="C9" s="6" t="s">
        <v>793</v>
      </c>
      <c r="D9" s="6" t="s">
        <v>798</v>
      </c>
      <c r="E9" s="6" t="s">
        <v>799</v>
      </c>
      <c r="F9" s="13" t="s">
        <v>65</v>
      </c>
      <c r="G9" s="13" t="s">
        <v>32</v>
      </c>
      <c r="H9" s="6" t="s">
        <v>800</v>
      </c>
    </row>
    <row r="10" spans="1:8" x14ac:dyDescent="0.25">
      <c r="A10" s="15" t="s">
        <v>801</v>
      </c>
      <c r="B10" s="9" t="s">
        <v>27</v>
      </c>
      <c r="C10" s="9" t="s">
        <v>24</v>
      </c>
      <c r="D10" s="9" t="s">
        <v>802</v>
      </c>
      <c r="E10" s="9" t="s">
        <v>803</v>
      </c>
      <c r="F10" s="15" t="s">
        <v>65</v>
      </c>
      <c r="G10" s="15" t="s">
        <v>26</v>
      </c>
      <c r="H10" s="9" t="s">
        <v>804</v>
      </c>
    </row>
    <row r="11" spans="1:8" x14ac:dyDescent="0.25">
      <c r="A11" s="13" t="s">
        <v>805</v>
      </c>
      <c r="B11" s="6" t="s">
        <v>24</v>
      </c>
      <c r="C11" s="6" t="s">
        <v>793</v>
      </c>
      <c r="D11" s="6" t="s">
        <v>806</v>
      </c>
      <c r="E11" s="6" t="s">
        <v>807</v>
      </c>
      <c r="F11" s="13" t="s">
        <v>65</v>
      </c>
      <c r="G11" s="13" t="s">
        <v>32</v>
      </c>
      <c r="H11" s="6" t="s">
        <v>808</v>
      </c>
    </row>
    <row r="12" spans="1:8" x14ac:dyDescent="0.25">
      <c r="A12" s="15" t="s">
        <v>809</v>
      </c>
      <c r="B12" s="9" t="s">
        <v>27</v>
      </c>
      <c r="C12" s="9" t="s">
        <v>24</v>
      </c>
      <c r="D12" s="9" t="s">
        <v>810</v>
      </c>
      <c r="E12" s="9" t="s">
        <v>811</v>
      </c>
      <c r="F12" s="15" t="s">
        <v>65</v>
      </c>
      <c r="G12" s="15" t="s">
        <v>26</v>
      </c>
      <c r="H12" s="9" t="s">
        <v>812</v>
      </c>
    </row>
  </sheetData>
  <autoFilter ref="A2:H12"/>
  <mergeCells count="1">
    <mergeCell ref="A1:H1"/>
  </mergeCells>
  <conditionalFormatting sqref="F3:F12">
    <cfRule type="cellIs" dxfId="144" priority="1" operator="equal">
      <formula>"Completed"</formula>
    </cfRule>
    <cfRule type="cellIs" dxfId="145" priority="2" operator="equal">
      <formula>"In Progress"</formula>
    </cfRule>
    <cfRule type="cellIs" dxfId="146" priority="3" operator="equal">
      <formula>"Review"</formula>
    </cfRule>
    <cfRule type="cellIs" dxfId="147" priority="4" operator="equal">
      <formula>"Blocked"</formula>
    </cfRule>
    <cfRule type="cellIs" dxfId="148" priority="5" operator="equal">
      <formula>"Not Started"</formula>
    </cfRule>
  </conditionalFormatting>
  <dataValidations count="2">
    <dataValidation type="list" allowBlank="1" sqref="F10:F12">
      <formula1>"Not Started,In Progress,Review,Completed,Blocked"</formula1>
    </dataValidation>
    <dataValidation type="list" allowBlank="1" sqref="F3:F12">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pane ySplit="2" topLeftCell="A3" activePane="bottomLeft" state="frozen"/>
      <selection pane="bottomLeft"/>
    </sheetView>
  </sheetViews>
  <sheetFormatPr defaultRowHeight="15" outlineLevelRow="0" outlineLevelCol="0" x14ac:dyDescent="55"/>
  <cols>
    <col min="1" max="15" width="40" customWidth="1"/>
  </cols>
  <sheetData>
    <row r="1" ht="24" customHeight="1" spans="1:15" x14ac:dyDescent="0.25">
      <c r="A1" s="40" t="s">
        <v>813</v>
      </c>
      <c r="B1" s="40"/>
      <c r="C1" s="40"/>
      <c r="D1" s="40"/>
      <c r="E1" s="40"/>
      <c r="F1" s="40"/>
      <c r="G1" s="40"/>
      <c r="H1" s="40"/>
      <c r="I1" s="40"/>
      <c r="J1" s="40"/>
      <c r="K1" s="40"/>
      <c r="L1" s="40"/>
      <c r="M1" s="40"/>
      <c r="N1" s="40"/>
      <c r="O1" s="40"/>
    </row>
    <row r="2" ht="26" customHeight="1" spans="1:15" x14ac:dyDescent="0.25">
      <c r="A2" s="12" t="s">
        <v>814</v>
      </c>
      <c r="B2" s="12" t="s">
        <v>815</v>
      </c>
      <c r="C2" s="12" t="s">
        <v>44</v>
      </c>
      <c r="D2" s="12" t="s">
        <v>816</v>
      </c>
      <c r="E2" s="12" t="s">
        <v>817</v>
      </c>
      <c r="F2" s="12" t="s">
        <v>47</v>
      </c>
      <c r="G2" s="12" t="s">
        <v>48</v>
      </c>
      <c r="H2" s="12" t="s">
        <v>46</v>
      </c>
      <c r="I2" s="12" t="s">
        <v>818</v>
      </c>
      <c r="J2" s="12" t="s">
        <v>819</v>
      </c>
      <c r="K2" s="12" t="s">
        <v>820</v>
      </c>
      <c r="L2" s="12" t="s">
        <v>821</v>
      </c>
      <c r="M2" s="12" t="s">
        <v>822</v>
      </c>
      <c r="N2" s="12" t="s">
        <v>823</v>
      </c>
      <c r="O2" s="12" t="s">
        <v>824</v>
      </c>
    </row>
    <row r="3" spans="1:15" x14ac:dyDescent="0.25">
      <c r="A3" s="9" t="s">
        <v>825</v>
      </c>
      <c r="B3" s="9" t="s">
        <v>826</v>
      </c>
      <c r="C3" s="9" t="s">
        <v>27</v>
      </c>
      <c r="D3" s="9" t="s">
        <v>827</v>
      </c>
      <c r="E3" s="9" t="s">
        <v>64</v>
      </c>
      <c r="F3" s="9" t="s">
        <v>64</v>
      </c>
      <c r="G3" s="9" t="s">
        <v>828</v>
      </c>
      <c r="H3" s="9" t="s">
        <v>26</v>
      </c>
      <c r="I3" s="9" t="s">
        <v>23</v>
      </c>
      <c r="J3" s="9" t="s">
        <v>829</v>
      </c>
      <c r="K3" s="9" t="s">
        <v>746</v>
      </c>
      <c r="L3" s="9" t="s">
        <v>830</v>
      </c>
      <c r="M3" s="9" t="s">
        <v>831</v>
      </c>
      <c r="N3" s="9" t="s">
        <v>746</v>
      </c>
      <c r="O3" s="9" t="s">
        <v>746</v>
      </c>
    </row>
    <row r="4" spans="1:15" x14ac:dyDescent="0.25">
      <c r="A4" s="6" t="s">
        <v>832</v>
      </c>
      <c r="B4" s="6" t="s">
        <v>833</v>
      </c>
      <c r="C4" s="6" t="s">
        <v>24</v>
      </c>
      <c r="D4" s="6" t="s">
        <v>834</v>
      </c>
      <c r="E4" s="6" t="s">
        <v>91</v>
      </c>
      <c r="F4" s="6" t="s">
        <v>91</v>
      </c>
      <c r="G4" s="6" t="s">
        <v>828</v>
      </c>
      <c r="H4" s="6" t="s">
        <v>32</v>
      </c>
      <c r="I4" s="6" t="s">
        <v>23</v>
      </c>
      <c r="J4" s="6" t="s">
        <v>829</v>
      </c>
      <c r="K4" s="6" t="s">
        <v>746</v>
      </c>
      <c r="L4" s="6" t="s">
        <v>830</v>
      </c>
      <c r="M4" s="6" t="s">
        <v>835</v>
      </c>
      <c r="N4" s="6" t="s">
        <v>746</v>
      </c>
      <c r="O4" s="6" t="s">
        <v>746</v>
      </c>
    </row>
    <row r="5" spans="1:15" x14ac:dyDescent="0.25">
      <c r="A5" s="9" t="s">
        <v>836</v>
      </c>
      <c r="B5" s="9" t="s">
        <v>837</v>
      </c>
      <c r="C5" s="9" t="s">
        <v>36</v>
      </c>
      <c r="D5" s="9" t="s">
        <v>838</v>
      </c>
      <c r="E5" s="9" t="s">
        <v>107</v>
      </c>
      <c r="F5" s="9" t="s">
        <v>107</v>
      </c>
      <c r="G5" s="9" t="s">
        <v>828</v>
      </c>
      <c r="H5" s="9" t="s">
        <v>35</v>
      </c>
      <c r="I5" s="9" t="s">
        <v>35</v>
      </c>
      <c r="J5" s="9" t="s">
        <v>829</v>
      </c>
      <c r="K5" s="9" t="s">
        <v>746</v>
      </c>
      <c r="L5" s="9" t="s">
        <v>830</v>
      </c>
      <c r="M5" s="9" t="s">
        <v>839</v>
      </c>
      <c r="N5" s="9" t="s">
        <v>746</v>
      </c>
      <c r="O5" s="9" t="s">
        <v>746</v>
      </c>
    </row>
    <row r="6" spans="1:15" x14ac:dyDescent="0.25">
      <c r="A6" s="6" t="s">
        <v>840</v>
      </c>
      <c r="B6" s="6" t="s">
        <v>841</v>
      </c>
      <c r="C6" s="6" t="s">
        <v>30</v>
      </c>
      <c r="D6" s="6" t="s">
        <v>842</v>
      </c>
      <c r="E6" s="6" t="s">
        <v>64</v>
      </c>
      <c r="F6" s="6" t="s">
        <v>64</v>
      </c>
      <c r="G6" s="6" t="s">
        <v>828</v>
      </c>
      <c r="H6" s="6" t="s">
        <v>29</v>
      </c>
      <c r="I6" s="6" t="s">
        <v>26</v>
      </c>
      <c r="J6" s="6" t="s">
        <v>829</v>
      </c>
      <c r="K6" s="6" t="s">
        <v>746</v>
      </c>
      <c r="L6" s="6" t="s">
        <v>830</v>
      </c>
      <c r="M6" s="6" t="s">
        <v>843</v>
      </c>
      <c r="N6" s="6" t="s">
        <v>746</v>
      </c>
      <c r="O6" s="6" t="s">
        <v>746</v>
      </c>
    </row>
    <row r="7" spans="1:15" x14ac:dyDescent="0.25">
      <c r="A7" s="9" t="s">
        <v>844</v>
      </c>
      <c r="B7" s="9" t="s">
        <v>845</v>
      </c>
      <c r="C7" s="9" t="s">
        <v>33</v>
      </c>
      <c r="D7" s="9" t="s">
        <v>846</v>
      </c>
      <c r="E7" s="9" t="s">
        <v>64</v>
      </c>
      <c r="F7" s="9" t="s">
        <v>91</v>
      </c>
      <c r="G7" s="9" t="s">
        <v>828</v>
      </c>
      <c r="H7" s="9" t="s">
        <v>38</v>
      </c>
      <c r="I7" s="9" t="s">
        <v>23</v>
      </c>
      <c r="J7" s="9" t="s">
        <v>829</v>
      </c>
      <c r="K7" s="9" t="s">
        <v>746</v>
      </c>
      <c r="L7" s="9" t="s">
        <v>830</v>
      </c>
      <c r="M7" s="9" t="s">
        <v>847</v>
      </c>
      <c r="N7" s="9" t="s">
        <v>746</v>
      </c>
      <c r="O7" s="9" t="s">
        <v>746</v>
      </c>
    </row>
    <row r="8" spans="1:15" x14ac:dyDescent="0.25">
      <c r="A8" s="6"/>
      <c r="B8" s="6"/>
      <c r="C8" s="6"/>
      <c r="D8" s="6"/>
      <c r="E8" s="6"/>
      <c r="F8" s="6"/>
      <c r="G8" s="6"/>
      <c r="H8" s="6"/>
      <c r="I8" s="6"/>
      <c r="J8" s="6"/>
      <c r="K8" s="6"/>
      <c r="L8" s="6"/>
      <c r="M8" s="6"/>
      <c r="N8" s="6"/>
      <c r="O8" s="6"/>
    </row>
    <row r="9" spans="1:15" x14ac:dyDescent="0.25">
      <c r="A9" s="9"/>
      <c r="B9" s="9"/>
      <c r="C9" s="9"/>
      <c r="D9" s="9"/>
      <c r="E9" s="9"/>
      <c r="F9" s="9"/>
      <c r="G9" s="9"/>
      <c r="H9" s="9"/>
      <c r="I9" s="9"/>
      <c r="J9" s="9"/>
      <c r="K9" s="9"/>
      <c r="L9" s="9"/>
      <c r="M9" s="9"/>
      <c r="N9" s="9"/>
      <c r="O9" s="9"/>
    </row>
    <row r="10" spans="1:15" x14ac:dyDescent="0.25">
      <c r="A10" s="6"/>
      <c r="B10" s="6"/>
      <c r="C10" s="6"/>
      <c r="D10" s="6"/>
      <c r="E10" s="6"/>
      <c r="F10" s="6"/>
      <c r="G10" s="6"/>
      <c r="H10" s="6"/>
      <c r="I10" s="6"/>
      <c r="J10" s="6"/>
      <c r="K10" s="6"/>
      <c r="L10" s="6"/>
      <c r="M10" s="6"/>
      <c r="N10" s="6"/>
      <c r="O10" s="6"/>
    </row>
    <row r="11" spans="1:15" x14ac:dyDescent="0.25">
      <c r="A11" s="9"/>
      <c r="B11" s="9"/>
      <c r="C11" s="9"/>
      <c r="D11" s="9"/>
      <c r="E11" s="9"/>
      <c r="F11" s="9"/>
      <c r="G11" s="9"/>
      <c r="H11" s="9"/>
      <c r="I11" s="9"/>
      <c r="J11" s="9"/>
      <c r="K11" s="9"/>
      <c r="L11" s="9"/>
      <c r="M11" s="9"/>
      <c r="N11" s="9"/>
      <c r="O11" s="9"/>
    </row>
    <row r="12" spans="1:15" x14ac:dyDescent="0.25">
      <c r="A12" s="6"/>
      <c r="B12" s="6"/>
      <c r="C12" s="6"/>
      <c r="D12" s="6"/>
      <c r="E12" s="6"/>
      <c r="F12" s="6"/>
      <c r="G12" s="6"/>
      <c r="H12" s="6"/>
      <c r="I12" s="6"/>
      <c r="J12" s="6"/>
      <c r="K12" s="6"/>
      <c r="L12" s="6"/>
      <c r="M12" s="6"/>
      <c r="N12" s="6"/>
      <c r="O12" s="6"/>
    </row>
    <row r="13" spans="1:15" x14ac:dyDescent="0.25">
      <c r="A13" s="9"/>
      <c r="B13" s="9"/>
      <c r="C13" s="9"/>
      <c r="D13" s="9"/>
      <c r="E13" s="9"/>
      <c r="F13" s="9"/>
      <c r="G13" s="9"/>
      <c r="H13" s="9"/>
      <c r="I13" s="9"/>
      <c r="J13" s="9"/>
      <c r="K13" s="9"/>
      <c r="L13" s="9"/>
      <c r="M13" s="9"/>
      <c r="N13" s="9"/>
      <c r="O13" s="9"/>
    </row>
    <row r="14" spans="1:15" x14ac:dyDescent="0.25">
      <c r="A14" s="6"/>
      <c r="B14" s="6"/>
      <c r="C14" s="6"/>
      <c r="D14" s="6"/>
      <c r="E14" s="6"/>
      <c r="F14" s="6"/>
      <c r="G14" s="6"/>
      <c r="H14" s="6"/>
      <c r="I14" s="6"/>
      <c r="J14" s="6"/>
      <c r="K14" s="6"/>
      <c r="L14" s="6"/>
      <c r="M14" s="6"/>
      <c r="N14" s="6"/>
      <c r="O14" s="6"/>
    </row>
    <row r="15" spans="1:15" x14ac:dyDescent="0.25">
      <c r="A15" s="9"/>
      <c r="B15" s="9"/>
      <c r="C15" s="9"/>
      <c r="D15" s="9"/>
      <c r="E15" s="9"/>
      <c r="F15" s="9"/>
      <c r="G15" s="9"/>
      <c r="H15" s="9"/>
      <c r="I15" s="9"/>
      <c r="J15" s="9"/>
      <c r="K15" s="9"/>
      <c r="L15" s="9"/>
      <c r="M15" s="9"/>
      <c r="N15" s="9"/>
      <c r="O15" s="9"/>
    </row>
    <row r="16" spans="1:15" x14ac:dyDescent="0.25">
      <c r="A16" s="6"/>
      <c r="B16" s="6"/>
      <c r="C16" s="6"/>
      <c r="D16" s="6"/>
      <c r="E16" s="6"/>
      <c r="F16" s="6"/>
      <c r="G16" s="6"/>
      <c r="H16" s="6"/>
      <c r="I16" s="6"/>
      <c r="J16" s="6"/>
      <c r="K16" s="6"/>
      <c r="L16" s="6"/>
      <c r="M16" s="6"/>
      <c r="N16" s="6"/>
      <c r="O16" s="6"/>
    </row>
    <row r="17" spans="1:15" x14ac:dyDescent="0.25">
      <c r="A17" s="9"/>
      <c r="B17" s="9"/>
      <c r="C17" s="9"/>
      <c r="D17" s="9"/>
      <c r="E17" s="9"/>
      <c r="F17" s="9"/>
      <c r="G17" s="9"/>
      <c r="H17" s="9"/>
      <c r="I17" s="9"/>
      <c r="J17" s="9"/>
      <c r="K17" s="9"/>
      <c r="L17" s="9"/>
      <c r="M17" s="9"/>
      <c r="N17" s="9"/>
      <c r="O17" s="9"/>
    </row>
    <row r="18" spans="1:15" x14ac:dyDescent="0.25">
      <c r="A18" s="6"/>
      <c r="B18" s="6"/>
      <c r="C18" s="6"/>
      <c r="D18" s="6"/>
      <c r="E18" s="6"/>
      <c r="F18" s="6"/>
      <c r="G18" s="6"/>
      <c r="H18" s="6"/>
      <c r="I18" s="6"/>
      <c r="J18" s="6"/>
      <c r="K18" s="6"/>
      <c r="L18" s="6"/>
      <c r="M18" s="6"/>
      <c r="N18" s="6"/>
      <c r="O18" s="6"/>
    </row>
    <row r="19" spans="1:15" x14ac:dyDescent="0.25">
      <c r="A19" s="9"/>
      <c r="B19" s="9"/>
      <c r="C19" s="9"/>
      <c r="D19" s="9"/>
      <c r="E19" s="9"/>
      <c r="F19" s="9"/>
      <c r="G19" s="9"/>
      <c r="H19" s="9"/>
      <c r="I19" s="9"/>
      <c r="J19" s="9"/>
      <c r="K19" s="9"/>
      <c r="L19" s="9"/>
      <c r="M19" s="9"/>
      <c r="N19" s="9"/>
      <c r="O19" s="9"/>
    </row>
    <row r="20" spans="1:15" x14ac:dyDescent="0.25">
      <c r="A20" s="6"/>
      <c r="B20" s="6"/>
      <c r="C20" s="6"/>
      <c r="D20" s="6"/>
      <c r="E20" s="6"/>
      <c r="F20" s="6"/>
      <c r="G20" s="6"/>
      <c r="H20" s="6"/>
      <c r="I20" s="6"/>
      <c r="J20" s="6"/>
      <c r="K20" s="6"/>
      <c r="L20" s="6"/>
      <c r="M20" s="6"/>
      <c r="N20" s="6"/>
      <c r="O20" s="6"/>
    </row>
    <row r="21" spans="1:15" x14ac:dyDescent="0.25">
      <c r="A21" s="9"/>
      <c r="B21" s="9"/>
      <c r="C21" s="9"/>
      <c r="D21" s="9"/>
      <c r="E21" s="9"/>
      <c r="F21" s="9"/>
      <c r="G21" s="9"/>
      <c r="H21" s="9"/>
      <c r="I21" s="9"/>
      <c r="J21" s="9"/>
      <c r="K21" s="9"/>
      <c r="L21" s="9"/>
      <c r="M21" s="9"/>
      <c r="N21" s="9"/>
      <c r="O21" s="9"/>
    </row>
    <row r="22" spans="1:15" x14ac:dyDescent="0.25">
      <c r="A22" s="6"/>
      <c r="B22" s="6"/>
      <c r="C22" s="6"/>
      <c r="D22" s="6"/>
      <c r="E22" s="6"/>
      <c r="F22" s="6"/>
      <c r="G22" s="6"/>
      <c r="H22" s="6"/>
      <c r="I22" s="6"/>
      <c r="J22" s="6"/>
      <c r="K22" s="6"/>
      <c r="L22" s="6"/>
      <c r="M22" s="6"/>
      <c r="N22" s="6"/>
      <c r="O22" s="6"/>
    </row>
    <row r="23" spans="1:15" x14ac:dyDescent="0.25">
      <c r="A23" s="9"/>
      <c r="B23" s="9"/>
      <c r="C23" s="9"/>
      <c r="D23" s="9"/>
      <c r="E23" s="9"/>
      <c r="F23" s="9"/>
      <c r="G23" s="9"/>
      <c r="H23" s="9"/>
      <c r="I23" s="9"/>
      <c r="J23" s="9"/>
      <c r="K23" s="9"/>
      <c r="L23" s="9"/>
      <c r="M23" s="9"/>
      <c r="N23" s="9"/>
      <c r="O23" s="9"/>
    </row>
    <row r="24" spans="1:15" x14ac:dyDescent="0.25">
      <c r="A24" s="6"/>
      <c r="B24" s="6"/>
      <c r="C24" s="6"/>
      <c r="D24" s="6"/>
      <c r="E24" s="6"/>
      <c r="F24" s="6"/>
      <c r="G24" s="6"/>
      <c r="H24" s="6"/>
      <c r="I24" s="6"/>
      <c r="J24" s="6"/>
      <c r="K24" s="6"/>
      <c r="L24" s="6"/>
      <c r="M24" s="6"/>
      <c r="N24" s="6"/>
      <c r="O24" s="6"/>
    </row>
    <row r="25" spans="1:15" x14ac:dyDescent="0.25">
      <c r="A25" s="9"/>
      <c r="B25" s="9"/>
      <c r="C25" s="9"/>
      <c r="D25" s="9"/>
      <c r="E25" s="9"/>
      <c r="F25" s="9"/>
      <c r="G25" s="9"/>
      <c r="H25" s="9"/>
      <c r="I25" s="9"/>
      <c r="J25" s="9"/>
      <c r="K25" s="9"/>
      <c r="L25" s="9"/>
      <c r="M25" s="9"/>
      <c r="N25" s="9"/>
      <c r="O25" s="9"/>
    </row>
    <row r="26" spans="1:15" x14ac:dyDescent="0.25">
      <c r="A26" s="6"/>
      <c r="B26" s="6"/>
      <c r="C26" s="6"/>
      <c r="D26" s="6"/>
      <c r="E26" s="6"/>
      <c r="F26" s="6"/>
      <c r="G26" s="6"/>
      <c r="H26" s="6"/>
      <c r="I26" s="6"/>
      <c r="J26" s="6"/>
      <c r="K26" s="6"/>
      <c r="L26" s="6"/>
      <c r="M26" s="6"/>
      <c r="N26" s="6"/>
      <c r="O26" s="6"/>
    </row>
    <row r="27" spans="1:15" x14ac:dyDescent="0.25">
      <c r="A27" s="9"/>
      <c r="B27" s="9"/>
      <c r="C27" s="9"/>
      <c r="D27" s="9"/>
      <c r="E27" s="9"/>
      <c r="F27" s="9"/>
      <c r="G27" s="9"/>
      <c r="H27" s="9"/>
      <c r="I27" s="9"/>
      <c r="J27" s="9"/>
      <c r="K27" s="9"/>
      <c r="L27" s="9"/>
      <c r="M27" s="9"/>
      <c r="N27" s="9"/>
      <c r="O27" s="9"/>
    </row>
    <row r="28" spans="1:15" x14ac:dyDescent="0.25">
      <c r="A28" s="6"/>
      <c r="B28" s="6"/>
      <c r="C28" s="6"/>
      <c r="D28" s="6"/>
      <c r="E28" s="6"/>
      <c r="F28" s="6"/>
      <c r="G28" s="6"/>
      <c r="H28" s="6"/>
      <c r="I28" s="6"/>
      <c r="J28" s="6"/>
      <c r="K28" s="6"/>
      <c r="L28" s="6"/>
      <c r="M28" s="6"/>
      <c r="N28" s="6"/>
      <c r="O28" s="6"/>
    </row>
    <row r="29" spans="1:15" x14ac:dyDescent="0.25">
      <c r="A29" s="9"/>
      <c r="B29" s="9"/>
      <c r="C29" s="9"/>
      <c r="D29" s="9"/>
      <c r="E29" s="9"/>
      <c r="F29" s="9"/>
      <c r="G29" s="9"/>
      <c r="H29" s="9"/>
      <c r="I29" s="9"/>
      <c r="J29" s="9"/>
      <c r="K29" s="9"/>
      <c r="L29" s="9"/>
      <c r="M29" s="9"/>
      <c r="N29" s="9"/>
      <c r="O29" s="9"/>
    </row>
    <row r="30" spans="1:15" x14ac:dyDescent="0.25">
      <c r="A30" s="6"/>
      <c r="B30" s="6"/>
      <c r="C30" s="6"/>
      <c r="D30" s="6"/>
      <c r="E30" s="6"/>
      <c r="F30" s="6"/>
      <c r="G30" s="6"/>
      <c r="H30" s="6"/>
      <c r="I30" s="6"/>
      <c r="J30" s="6"/>
      <c r="K30" s="6"/>
      <c r="L30" s="6"/>
      <c r="M30" s="6"/>
      <c r="N30" s="6"/>
      <c r="O30" s="6"/>
    </row>
  </sheetData>
  <autoFilter ref="A2:O30"/>
  <mergeCells count="1">
    <mergeCell ref="A1:O1"/>
  </mergeCells>
  <conditionalFormatting sqref="G3:G30">
    <cfRule type="cellIs" dxfId="149" priority="1" operator="equal">
      <formula>"Completed"</formula>
    </cfRule>
    <cfRule type="cellIs" dxfId="150" priority="2" operator="equal">
      <formula>"In Progress"</formula>
    </cfRule>
    <cfRule type="cellIs" dxfId="151" priority="3" operator="equal">
      <formula>"Review"</formula>
    </cfRule>
    <cfRule type="cellIs" dxfId="152" priority="4" operator="equal">
      <formula>"Blocked"</formula>
    </cfRule>
    <cfRule type="cellIs" dxfId="153" priority="5" operator="equal">
      <formula>"Not Started"</formula>
    </cfRule>
  </conditionalFormatting>
  <conditionalFormatting sqref="E3:E30">
    <cfRule type="cellIs" dxfId="154" priority="6" operator="equal">
      <formula>"Critical"</formula>
    </cfRule>
    <cfRule type="cellIs" dxfId="155" priority="7" operator="equal">
      <formula>"High"</formula>
    </cfRule>
    <cfRule type="cellIs" dxfId="156" priority="8" operator="equal">
      <formula>"Medium"</formula>
    </cfRule>
    <cfRule type="cellIs" dxfId="157" priority="9" operator="equal">
      <formula>"Low"</formula>
    </cfRule>
  </conditionalFormatting>
  <dataValidations count="4">
    <dataValidation type="list" allowBlank="1" sqref="E10:F30">
      <formula1>"Critical,High,Medium,Low"</formula1>
    </dataValidation>
    <dataValidation type="list" allowBlank="1" sqref="E3:F30">
      <formula1>"Critical,High,Medium,Low"</formula1>
    </dataValidation>
    <dataValidation type="list" allowBlank="1" sqref="G10:G30">
      <formula1>"New,Assigned,In Progress,Ready for Test,Verified,Closed,Open"</formula1>
    </dataValidation>
    <dataValidation type="list" allowBlank="1" sqref="G3:G30">
      <formula1>"New,Assigned,In Progress,Ready for Test,Verified,Closed,Open"</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2" topLeftCell="A3" activePane="bottomLeft" state="frozen"/>
      <selection pane="bottomLeft"/>
    </sheetView>
  </sheetViews>
  <sheetFormatPr defaultRowHeight="15" outlineLevelRow="0" outlineLevelCol="0" x14ac:dyDescent="55"/>
  <cols>
    <col min="1" max="6" width="40" customWidth="1"/>
  </cols>
  <sheetData>
    <row r="1" ht="24" customHeight="1" spans="1:6" x14ac:dyDescent="0.25">
      <c r="A1" s="40" t="s">
        <v>848</v>
      </c>
      <c r="B1" s="40"/>
      <c r="C1" s="40"/>
      <c r="D1" s="40"/>
      <c r="E1" s="40"/>
      <c r="F1" s="40"/>
    </row>
    <row r="2" ht="26" customHeight="1" spans="1:6" x14ac:dyDescent="0.25">
      <c r="A2" s="12" t="s">
        <v>849</v>
      </c>
      <c r="B2" s="12" t="s">
        <v>850</v>
      </c>
      <c r="C2" s="12" t="s">
        <v>851</v>
      </c>
      <c r="D2" s="12" t="s">
        <v>48</v>
      </c>
      <c r="E2" s="12" t="s">
        <v>852</v>
      </c>
      <c r="F2" s="12" t="s">
        <v>853</v>
      </c>
    </row>
    <row r="3" spans="1:6" x14ac:dyDescent="0.25">
      <c r="A3" s="13" t="s">
        <v>854</v>
      </c>
      <c r="B3" s="6" t="s">
        <v>855</v>
      </c>
      <c r="C3" s="6" t="s">
        <v>856</v>
      </c>
      <c r="D3" s="13" t="s">
        <v>17</v>
      </c>
      <c r="E3" s="13" t="s">
        <v>26</v>
      </c>
      <c r="F3" s="13" t="s">
        <v>25</v>
      </c>
    </row>
    <row r="4" spans="1:6" x14ac:dyDescent="0.25">
      <c r="A4" s="15" t="s">
        <v>857</v>
      </c>
      <c r="B4" s="9" t="s">
        <v>858</v>
      </c>
      <c r="C4" s="9" t="s">
        <v>859</v>
      </c>
      <c r="D4" s="15" t="s">
        <v>17</v>
      </c>
      <c r="E4" s="15" t="s">
        <v>32</v>
      </c>
      <c r="F4" s="15" t="s">
        <v>31</v>
      </c>
    </row>
    <row r="5" spans="1:6" x14ac:dyDescent="0.25">
      <c r="A5" s="13" t="s">
        <v>860</v>
      </c>
      <c r="B5" s="6" t="s">
        <v>861</v>
      </c>
      <c r="C5" s="6" t="s">
        <v>862</v>
      </c>
      <c r="D5" s="13" t="s">
        <v>17</v>
      </c>
      <c r="E5" s="13" t="s">
        <v>32</v>
      </c>
      <c r="F5" s="13" t="s">
        <v>31</v>
      </c>
    </row>
    <row r="6" spans="1:6" x14ac:dyDescent="0.25">
      <c r="A6" s="15" t="s">
        <v>863</v>
      </c>
      <c r="B6" s="9" t="s">
        <v>864</v>
      </c>
      <c r="C6" s="9" t="s">
        <v>865</v>
      </c>
      <c r="D6" s="15" t="s">
        <v>17</v>
      </c>
      <c r="E6" s="15" t="s">
        <v>26</v>
      </c>
      <c r="F6" s="15" t="s">
        <v>31</v>
      </c>
    </row>
    <row r="7" spans="1:6" x14ac:dyDescent="0.25">
      <c r="A7" s="13" t="s">
        <v>866</v>
      </c>
      <c r="B7" s="6" t="s">
        <v>867</v>
      </c>
      <c r="C7" s="6" t="s">
        <v>868</v>
      </c>
      <c r="D7" s="13" t="s">
        <v>17</v>
      </c>
      <c r="E7" s="13" t="s">
        <v>32</v>
      </c>
      <c r="F7" s="13" t="s">
        <v>34</v>
      </c>
    </row>
    <row r="8" spans="1:6" x14ac:dyDescent="0.25">
      <c r="A8" s="15" t="s">
        <v>869</v>
      </c>
      <c r="B8" s="9" t="s">
        <v>870</v>
      </c>
      <c r="C8" s="9" t="s">
        <v>871</v>
      </c>
      <c r="D8" s="15" t="s">
        <v>17</v>
      </c>
      <c r="E8" s="15" t="s">
        <v>32</v>
      </c>
      <c r="F8" s="15" t="s">
        <v>34</v>
      </c>
    </row>
    <row r="9" spans="1:6" x14ac:dyDescent="0.25">
      <c r="A9" s="13" t="s">
        <v>872</v>
      </c>
      <c r="B9" s="6" t="s">
        <v>873</v>
      </c>
      <c r="C9" s="6" t="s">
        <v>874</v>
      </c>
      <c r="D9" s="13" t="s">
        <v>17</v>
      </c>
      <c r="E9" s="13" t="s">
        <v>32</v>
      </c>
      <c r="F9" s="13" t="s">
        <v>34</v>
      </c>
    </row>
    <row r="10" spans="1:6" x14ac:dyDescent="0.25">
      <c r="A10" s="15" t="s">
        <v>875</v>
      </c>
      <c r="B10" s="9" t="s">
        <v>876</v>
      </c>
      <c r="C10" s="9" t="s">
        <v>877</v>
      </c>
      <c r="D10" s="15" t="s">
        <v>17</v>
      </c>
      <c r="E10" s="15" t="s">
        <v>29</v>
      </c>
      <c r="F10" s="15" t="s">
        <v>37</v>
      </c>
    </row>
    <row r="11" spans="1:6" x14ac:dyDescent="0.25">
      <c r="A11" s="13" t="s">
        <v>878</v>
      </c>
      <c r="B11" s="6" t="s">
        <v>879</v>
      </c>
      <c r="C11" s="6" t="s">
        <v>880</v>
      </c>
      <c r="D11" s="13" t="s">
        <v>17</v>
      </c>
      <c r="E11" s="13" t="s">
        <v>881</v>
      </c>
      <c r="F11" s="13" t="s">
        <v>37</v>
      </c>
    </row>
    <row r="12" spans="1:6" x14ac:dyDescent="0.25">
      <c r="A12" s="15" t="s">
        <v>882</v>
      </c>
      <c r="B12" s="9" t="s">
        <v>883</v>
      </c>
      <c r="C12" s="9" t="s">
        <v>884</v>
      </c>
      <c r="D12" s="15" t="s">
        <v>17</v>
      </c>
      <c r="E12" s="15" t="s">
        <v>38</v>
      </c>
      <c r="F12" s="15" t="s">
        <v>40</v>
      </c>
    </row>
    <row r="13" spans="1:6" x14ac:dyDescent="0.25">
      <c r="A13" s="13" t="s">
        <v>885</v>
      </c>
      <c r="B13" s="6" t="s">
        <v>886</v>
      </c>
      <c r="C13" s="6" t="s">
        <v>887</v>
      </c>
      <c r="D13" s="13" t="s">
        <v>17</v>
      </c>
      <c r="E13" s="13" t="s">
        <v>32</v>
      </c>
      <c r="F13" s="13" t="s">
        <v>42</v>
      </c>
    </row>
    <row r="14" spans="1:6" x14ac:dyDescent="0.25">
      <c r="A14" s="15" t="s">
        <v>888</v>
      </c>
      <c r="B14" s="9" t="s">
        <v>889</v>
      </c>
      <c r="C14" s="9" t="s">
        <v>890</v>
      </c>
      <c r="D14" s="15" t="s">
        <v>17</v>
      </c>
      <c r="E14" s="15" t="s">
        <v>29</v>
      </c>
      <c r="F14" s="15" t="s">
        <v>129</v>
      </c>
    </row>
  </sheetData>
  <autoFilter ref="A2:F14"/>
  <mergeCells count="1">
    <mergeCell ref="A1:F1"/>
  </mergeCells>
  <conditionalFormatting sqref="D3:D14">
    <cfRule type="cellIs" dxfId="158" priority="1" operator="equal">
      <formula>"Completed"</formula>
    </cfRule>
    <cfRule type="cellIs" dxfId="159" priority="2" operator="equal">
      <formula>"In Progress"</formula>
    </cfRule>
    <cfRule type="cellIs" dxfId="160" priority="3" operator="equal">
      <formula>"Review"</formula>
    </cfRule>
    <cfRule type="cellIs" dxfId="161" priority="4" operator="equal">
      <formula>"Blocked"</formula>
    </cfRule>
    <cfRule type="cellIs" dxfId="162" priority="5" operator="equal">
      <formula>"Not Started"</formula>
    </cfRule>
  </conditionalFormatting>
  <dataValidations count="2">
    <dataValidation type="list" allowBlank="1" sqref="D10:D14">
      <formula1>"Not Started,In Progress,Review,Completed,Blocked"</formula1>
    </dataValidation>
    <dataValidation type="list" allowBlank="1" sqref="D3:D14">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2" topLeftCell="A3" activePane="bottomLeft" state="frozen"/>
      <selection pane="bottomLeft"/>
    </sheetView>
  </sheetViews>
  <sheetFormatPr defaultRowHeight="15" outlineLevelRow="0" outlineLevelCol="0" x14ac:dyDescent="55"/>
  <cols>
    <col min="1" max="6" width="40" customWidth="1"/>
  </cols>
  <sheetData>
    <row r="1" ht="24" customHeight="1" spans="1:6" x14ac:dyDescent="0.25">
      <c r="A1" s="40" t="s">
        <v>891</v>
      </c>
      <c r="B1" s="40"/>
      <c r="C1" s="40"/>
      <c r="D1" s="40"/>
      <c r="E1" s="40"/>
      <c r="F1" s="40"/>
    </row>
    <row r="2" ht="26" customHeight="1" spans="1:6" x14ac:dyDescent="0.25">
      <c r="A2" s="12" t="s">
        <v>892</v>
      </c>
      <c r="B2" s="12" t="s">
        <v>14</v>
      </c>
      <c r="C2" s="12" t="s">
        <v>893</v>
      </c>
      <c r="D2" s="12" t="s">
        <v>894</v>
      </c>
      <c r="E2" s="12" t="s">
        <v>895</v>
      </c>
      <c r="F2" s="12" t="s">
        <v>896</v>
      </c>
    </row>
    <row r="3" spans="1:6" x14ac:dyDescent="0.25">
      <c r="A3" s="13" t="s">
        <v>829</v>
      </c>
      <c r="B3" s="13" t="s">
        <v>23</v>
      </c>
      <c r="C3" s="6" t="s">
        <v>897</v>
      </c>
      <c r="D3" s="6" t="s">
        <v>898</v>
      </c>
      <c r="E3" s="6" t="s">
        <v>66</v>
      </c>
      <c r="F3" s="13" t="s">
        <v>166</v>
      </c>
    </row>
    <row r="4" spans="1:6" x14ac:dyDescent="0.25">
      <c r="A4" s="15" t="s">
        <v>829</v>
      </c>
      <c r="B4" s="15" t="s">
        <v>26</v>
      </c>
      <c r="C4" s="9" t="s">
        <v>897</v>
      </c>
      <c r="D4" s="9" t="s">
        <v>898</v>
      </c>
      <c r="E4" s="9" t="s">
        <v>66</v>
      </c>
      <c r="F4" s="15" t="s">
        <v>166</v>
      </c>
    </row>
    <row r="5" spans="1:6" x14ac:dyDescent="0.25">
      <c r="A5" s="13" t="s">
        <v>829</v>
      </c>
      <c r="B5" s="13" t="s">
        <v>29</v>
      </c>
      <c r="C5" s="6" t="s">
        <v>897</v>
      </c>
      <c r="D5" s="6" t="s">
        <v>898</v>
      </c>
      <c r="E5" s="6" t="s">
        <v>66</v>
      </c>
      <c r="F5" s="13" t="s">
        <v>166</v>
      </c>
    </row>
    <row r="6" spans="1:6" x14ac:dyDescent="0.25">
      <c r="A6" s="15" t="s">
        <v>829</v>
      </c>
      <c r="B6" s="15" t="s">
        <v>32</v>
      </c>
      <c r="C6" s="9" t="s">
        <v>897</v>
      </c>
      <c r="D6" s="9" t="s">
        <v>898</v>
      </c>
      <c r="E6" s="9" t="s">
        <v>66</v>
      </c>
      <c r="F6" s="15" t="s">
        <v>166</v>
      </c>
    </row>
    <row r="7" spans="1:6" x14ac:dyDescent="0.25">
      <c r="A7" s="13" t="s">
        <v>829</v>
      </c>
      <c r="B7" s="13" t="s">
        <v>35</v>
      </c>
      <c r="C7" s="6" t="s">
        <v>897</v>
      </c>
      <c r="D7" s="6" t="s">
        <v>898</v>
      </c>
      <c r="E7" s="6" t="s">
        <v>66</v>
      </c>
      <c r="F7" s="13" t="s">
        <v>166</v>
      </c>
    </row>
    <row r="8" spans="1:6" x14ac:dyDescent="0.25">
      <c r="A8" s="15" t="s">
        <v>829</v>
      </c>
      <c r="B8" s="15" t="s">
        <v>38</v>
      </c>
      <c r="C8" s="9" t="s">
        <v>897</v>
      </c>
      <c r="D8" s="9" t="s">
        <v>898</v>
      </c>
      <c r="E8" s="9" t="s">
        <v>66</v>
      </c>
      <c r="F8" s="15" t="s">
        <v>166</v>
      </c>
    </row>
  </sheetData>
  <autoFilter ref="A2:F8"/>
  <mergeCells count="1">
    <mergeCell ref="A1:F1"/>
  </mergeCells>
  <dataValidations count="1">
    <dataValidation type="list" allowBlank="1" sqref="F3:F8">
      <formula1>"Yes,No"</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2" topLeftCell="A3" activePane="bottomLeft" state="frozen"/>
      <selection pane="bottomLeft"/>
    </sheetView>
  </sheetViews>
  <sheetFormatPr defaultRowHeight="15" outlineLevelRow="0" outlineLevelCol="0" x14ac:dyDescent="55"/>
  <cols>
    <col min="1" max="6" width="40" customWidth="1"/>
  </cols>
  <sheetData>
    <row r="1" ht="24" customHeight="1" spans="1:6" x14ac:dyDescent="0.25">
      <c r="A1" s="40" t="s">
        <v>899</v>
      </c>
      <c r="B1" s="40"/>
      <c r="C1" s="40"/>
      <c r="D1" s="40"/>
      <c r="E1" s="40"/>
      <c r="F1" s="40"/>
    </row>
    <row r="2" ht="26" customHeight="1" spans="1:6" x14ac:dyDescent="0.25">
      <c r="A2" s="12" t="s">
        <v>14</v>
      </c>
      <c r="B2" s="12" t="s">
        <v>15</v>
      </c>
      <c r="C2" s="12" t="s">
        <v>16</v>
      </c>
      <c r="D2" s="12" t="s">
        <v>17</v>
      </c>
      <c r="E2" s="12" t="s">
        <v>18</v>
      </c>
      <c r="F2" s="12" t="s">
        <v>19</v>
      </c>
    </row>
    <row r="3" spans="1:6" x14ac:dyDescent="0.25">
      <c r="A3" s="6" t="str">
        <f>=Dashboard!A8</f>
        <v>Minha Palakkathodi</v>
      </c>
      <c r="B3" s="13">
        <f>=Dashboard!B8</f>
        <v>9</v>
      </c>
      <c r="C3" s="13">
        <f>=Dashboard!C8</f>
        <v>0</v>
      </c>
      <c r="D3" s="13">
        <f>=Dashboard!D8</f>
        <v>9</v>
      </c>
      <c r="E3" s="13">
        <f>=Dashboard!E8</f>
        <v>0</v>
      </c>
      <c r="F3" s="14">
        <f>=Dashboard!F8</f>
        <v>0</v>
      </c>
    </row>
    <row r="4" spans="1:6" x14ac:dyDescent="0.25">
      <c r="A4" s="9" t="str">
        <f>=Dashboard!A9</f>
        <v>Adithyan N</v>
      </c>
      <c r="B4" s="15">
        <f>=Dashboard!B9</f>
        <v>30</v>
      </c>
      <c r="C4" s="15">
        <f>=Dashboard!C9</f>
        <v>0</v>
      </c>
      <c r="D4" s="15">
        <f>=Dashboard!D9</f>
        <v>30</v>
      </c>
      <c r="E4" s="15">
        <f>=Dashboard!E9</f>
        <v>0</v>
      </c>
      <c r="F4" s="16">
        <f>=Dashboard!F9</f>
        <v>0</v>
      </c>
    </row>
    <row r="5" spans="1:6" x14ac:dyDescent="0.25">
      <c r="A5" s="6" t="str">
        <f>=Dashboard!A10</f>
        <v>Fathima Hana</v>
      </c>
      <c r="B5" s="13">
        <f>=Dashboard!B10</f>
        <v>16</v>
      </c>
      <c r="C5" s="13">
        <f>=Dashboard!C10</f>
        <v>0</v>
      </c>
      <c r="D5" s="13">
        <f>=Dashboard!D10</f>
        <v>16</v>
      </c>
      <c r="E5" s="13">
        <f>=Dashboard!E10</f>
        <v>0</v>
      </c>
      <c r="F5" s="14">
        <f>=Dashboard!F10</f>
        <v>0</v>
      </c>
    </row>
    <row r="6" spans="1:6" x14ac:dyDescent="0.25">
      <c r="A6" s="9" t="str">
        <f>=Dashboard!A11</f>
        <v>Muhammad Sanish</v>
      </c>
      <c r="B6" s="15">
        <f>=Dashboard!B11</f>
        <v>23</v>
      </c>
      <c r="C6" s="15">
        <f>=Dashboard!C11</f>
        <v>0</v>
      </c>
      <c r="D6" s="15">
        <f>=Dashboard!D11</f>
        <v>23</v>
      </c>
      <c r="E6" s="15">
        <f>=Dashboard!E11</f>
        <v>0</v>
      </c>
      <c r="F6" s="16">
        <f>=Dashboard!F11</f>
        <v>0</v>
      </c>
    </row>
    <row r="7" spans="1:6" x14ac:dyDescent="0.25">
      <c r="A7" s="6" t="str">
        <f>=Dashboard!A12</f>
        <v>Fadi Ahmed</v>
      </c>
      <c r="B7" s="13">
        <f>=Dashboard!B12</f>
        <v>9</v>
      </c>
      <c r="C7" s="13">
        <f>=Dashboard!C12</f>
        <v>0</v>
      </c>
      <c r="D7" s="13">
        <f>=Dashboard!D12</f>
        <v>9</v>
      </c>
      <c r="E7" s="13">
        <f>=Dashboard!E12</f>
        <v>0</v>
      </c>
      <c r="F7" s="14">
        <f>=Dashboard!F12</f>
        <v>0</v>
      </c>
    </row>
    <row r="8" spans="1:6" x14ac:dyDescent="0.25">
      <c r="A8" s="9" t="str">
        <f>=Dashboard!A13</f>
        <v>Muhammed Sadik KT</v>
      </c>
      <c r="B8" s="15">
        <f>=Dashboard!B13</f>
        <v>9</v>
      </c>
      <c r="C8" s="15">
        <f>=Dashboard!C13</f>
        <v>0</v>
      </c>
      <c r="D8" s="15">
        <f>=Dashboard!D13</f>
        <v>9</v>
      </c>
      <c r="E8" s="15">
        <f>=Dashboard!E13</f>
        <v>0</v>
      </c>
      <c r="F8" s="16">
        <f>=Dashboard!F13</f>
        <v>0</v>
      </c>
    </row>
  </sheetData>
  <autoFilter ref="A2:F8"/>
  <mergeCells count="1">
    <mergeCell ref="A1:F1"/>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2" topLeftCell="A3" activePane="bottomLeft" state="frozen"/>
      <selection pane="bottomLeft"/>
    </sheetView>
  </sheetViews>
  <sheetFormatPr defaultRowHeight="15" outlineLevelRow="0" outlineLevelCol="0" x14ac:dyDescent="55"/>
  <cols>
    <col min="1" max="1" width="37" customWidth="1"/>
    <col min="2" max="2" width="39" customWidth="1"/>
    <col min="3" max="4" width="40" customWidth="1"/>
    <col min="5" max="6" width="37" customWidth="1"/>
  </cols>
  <sheetData>
    <row r="1" ht="24" customHeight="1" spans="1:6" x14ac:dyDescent="0.25">
      <c r="A1" s="40" t="s">
        <v>900</v>
      </c>
      <c r="B1" s="40"/>
      <c r="C1" s="40"/>
      <c r="D1" s="40"/>
      <c r="E1" s="40"/>
      <c r="F1" s="40"/>
    </row>
    <row r="2" ht="26" customHeight="1" spans="1:6" x14ac:dyDescent="0.25">
      <c r="A2" s="12" t="s">
        <v>901</v>
      </c>
      <c r="B2" s="12" t="s">
        <v>902</v>
      </c>
      <c r="C2" s="12" t="s">
        <v>903</v>
      </c>
      <c r="D2" s="12" t="s">
        <v>904</v>
      </c>
      <c r="E2" s="12" t="s">
        <v>48</v>
      </c>
      <c r="F2" s="12" t="s">
        <v>905</v>
      </c>
    </row>
    <row r="3" spans="1:6" x14ac:dyDescent="0.25">
      <c r="A3" s="13" t="s">
        <v>906</v>
      </c>
      <c r="B3" s="13" t="s">
        <v>907</v>
      </c>
      <c r="C3" s="13" t="s">
        <v>908</v>
      </c>
      <c r="D3" s="6" t="s">
        <v>909</v>
      </c>
      <c r="E3" s="13" t="s">
        <v>65</v>
      </c>
      <c r="F3" s="13" t="s">
        <v>91</v>
      </c>
    </row>
    <row r="4" spans="1:6" x14ac:dyDescent="0.25">
      <c r="A4" s="15" t="s">
        <v>910</v>
      </c>
      <c r="B4" s="15" t="s">
        <v>908</v>
      </c>
      <c r="C4" s="15" t="s">
        <v>911</v>
      </c>
      <c r="D4" s="9" t="s">
        <v>912</v>
      </c>
      <c r="E4" s="15" t="s">
        <v>65</v>
      </c>
      <c r="F4" s="15" t="s">
        <v>91</v>
      </c>
    </row>
    <row r="5" spans="1:6" x14ac:dyDescent="0.25">
      <c r="A5" s="13" t="s">
        <v>913</v>
      </c>
      <c r="B5" s="13" t="s">
        <v>911</v>
      </c>
      <c r="C5" s="13" t="s">
        <v>914</v>
      </c>
      <c r="D5" s="6" t="s">
        <v>915</v>
      </c>
      <c r="E5" s="13" t="s">
        <v>65</v>
      </c>
      <c r="F5" s="13" t="s">
        <v>91</v>
      </c>
    </row>
    <row r="6" spans="1:6" x14ac:dyDescent="0.25">
      <c r="A6" s="15" t="s">
        <v>916</v>
      </c>
      <c r="B6" s="15" t="s">
        <v>917</v>
      </c>
      <c r="C6" s="15" t="s">
        <v>918</v>
      </c>
      <c r="D6" s="9" t="s">
        <v>919</v>
      </c>
      <c r="E6" s="15" t="s">
        <v>65</v>
      </c>
      <c r="F6" s="15" t="s">
        <v>64</v>
      </c>
    </row>
    <row r="7" spans="1:6" x14ac:dyDescent="0.25">
      <c r="A7" s="13" t="s">
        <v>920</v>
      </c>
      <c r="B7" s="13" t="s">
        <v>918</v>
      </c>
      <c r="C7" s="13" t="s">
        <v>921</v>
      </c>
      <c r="D7" s="6" t="s">
        <v>922</v>
      </c>
      <c r="E7" s="13" t="s">
        <v>65</v>
      </c>
      <c r="F7" s="13" t="s">
        <v>64</v>
      </c>
    </row>
    <row r="8" spans="1:6" x14ac:dyDescent="0.25">
      <c r="A8" s="15" t="s">
        <v>923</v>
      </c>
      <c r="B8" s="15" t="s">
        <v>924</v>
      </c>
      <c r="C8" s="15" t="s">
        <v>925</v>
      </c>
      <c r="D8" s="9" t="s">
        <v>926</v>
      </c>
      <c r="E8" s="15" t="s">
        <v>65</v>
      </c>
      <c r="F8" s="15" t="s">
        <v>64</v>
      </c>
    </row>
    <row r="9" spans="1:6" x14ac:dyDescent="0.25">
      <c r="A9" s="13" t="s">
        <v>927</v>
      </c>
      <c r="B9" s="13" t="s">
        <v>925</v>
      </c>
      <c r="C9" s="13" t="s">
        <v>928</v>
      </c>
      <c r="D9" s="6" t="s">
        <v>929</v>
      </c>
      <c r="E9" s="13" t="s">
        <v>65</v>
      </c>
      <c r="F9" s="13" t="s">
        <v>64</v>
      </c>
    </row>
    <row r="10" spans="1:6" x14ac:dyDescent="0.25">
      <c r="A10" s="15" t="s">
        <v>930</v>
      </c>
      <c r="B10" s="15" t="s">
        <v>931</v>
      </c>
      <c r="C10" s="15" t="s">
        <v>932</v>
      </c>
      <c r="D10" s="9" t="s">
        <v>933</v>
      </c>
      <c r="E10" s="15" t="s">
        <v>65</v>
      </c>
      <c r="F10" s="15" t="s">
        <v>64</v>
      </c>
    </row>
  </sheetData>
  <autoFilter ref="A2:F10"/>
  <mergeCells count="1">
    <mergeCell ref="A1:F1"/>
  </mergeCells>
  <conditionalFormatting sqref="E3:E10">
    <cfRule type="cellIs" dxfId="163" priority="1" operator="equal">
      <formula>"Completed"</formula>
    </cfRule>
    <cfRule type="cellIs" dxfId="164" priority="2" operator="equal">
      <formula>"In Progress"</formula>
    </cfRule>
    <cfRule type="cellIs" dxfId="165" priority="3" operator="equal">
      <formula>"Review"</formula>
    </cfRule>
    <cfRule type="cellIs" dxfId="166" priority="4" operator="equal">
      <formula>"Blocked"</formula>
    </cfRule>
    <cfRule type="cellIs" dxfId="167" priority="5" operator="equal">
      <formula>"Not Started"</formula>
    </cfRule>
  </conditionalFormatting>
  <conditionalFormatting sqref="F3:F10">
    <cfRule type="cellIs" dxfId="168" priority="6" operator="equal">
      <formula>"Critical"</formula>
    </cfRule>
    <cfRule type="cellIs" dxfId="169" priority="7" operator="equal">
      <formula>"High"</formula>
    </cfRule>
    <cfRule type="cellIs" dxfId="170" priority="8" operator="equal">
      <formula>"Medium"</formula>
    </cfRule>
    <cfRule type="cellIs" dxfId="171" priority="9" operator="equal">
      <formula>"Low"</formula>
    </cfRule>
  </conditionalFormatting>
  <dataValidations count="4">
    <dataValidation type="list" allowBlank="1" sqref="E10">
      <formula1>"Not Started,Resolved,Blocked,In Progress"</formula1>
    </dataValidation>
    <dataValidation type="list" allowBlank="1" sqref="E3:E10">
      <formula1>"Not Started,Resolved,Blocked,In Progress"</formula1>
    </dataValidation>
    <dataValidation type="list" allowBlank="1" sqref="F10">
      <formula1>"Critical,High,Medium,Low"</formula1>
    </dataValidation>
    <dataValidation type="list" allowBlank="1" sqref="F3:F10">
      <formula1>"Critical,High,Medium,Low"</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2" topLeftCell="A3" activePane="bottomLeft" state="frozen"/>
      <selection pane="bottomLeft"/>
    </sheetView>
  </sheetViews>
  <sheetFormatPr defaultRowHeight="15" outlineLevelRow="0" outlineLevelCol="0" x14ac:dyDescent="55"/>
  <cols>
    <col min="1" max="5" width="40" customWidth="1"/>
  </cols>
  <sheetData>
    <row r="1" ht="24" customHeight="1" spans="1:5" x14ac:dyDescent="0.25">
      <c r="A1" s="40" t="s">
        <v>934</v>
      </c>
      <c r="B1" s="40"/>
      <c r="C1" s="40"/>
      <c r="D1" s="40"/>
      <c r="E1" s="40"/>
    </row>
    <row r="2" ht="26" customHeight="1" spans="1:5" x14ac:dyDescent="0.25">
      <c r="A2" s="12" t="s">
        <v>935</v>
      </c>
      <c r="B2" s="12" t="s">
        <v>936</v>
      </c>
      <c r="C2" s="12" t="s">
        <v>937</v>
      </c>
      <c r="D2" s="12" t="s">
        <v>48</v>
      </c>
      <c r="E2" s="12" t="s">
        <v>852</v>
      </c>
    </row>
    <row r="3" spans="1:5" x14ac:dyDescent="0.25">
      <c r="A3" s="13" t="s">
        <v>938</v>
      </c>
      <c r="B3" s="6" t="s">
        <v>939</v>
      </c>
      <c r="C3" s="6" t="s">
        <v>940</v>
      </c>
      <c r="D3" s="13" t="s">
        <v>65</v>
      </c>
      <c r="E3" s="13" t="s">
        <v>26</v>
      </c>
    </row>
    <row r="4" spans="1:5" x14ac:dyDescent="0.25">
      <c r="A4" s="15" t="s">
        <v>941</v>
      </c>
      <c r="B4" s="9" t="s">
        <v>942</v>
      </c>
      <c r="C4" s="9" t="s">
        <v>943</v>
      </c>
      <c r="D4" s="15" t="s">
        <v>65</v>
      </c>
      <c r="E4" s="15" t="s">
        <v>32</v>
      </c>
    </row>
    <row r="5" spans="1:5" x14ac:dyDescent="0.25">
      <c r="A5" s="13" t="s">
        <v>944</v>
      </c>
      <c r="B5" s="6" t="s">
        <v>945</v>
      </c>
      <c r="C5" s="6" t="s">
        <v>946</v>
      </c>
      <c r="D5" s="13" t="s">
        <v>65</v>
      </c>
      <c r="E5" s="13" t="s">
        <v>32</v>
      </c>
    </row>
    <row r="6" spans="1:5" x14ac:dyDescent="0.25">
      <c r="A6" s="15" t="s">
        <v>947</v>
      </c>
      <c r="B6" s="9" t="s">
        <v>948</v>
      </c>
      <c r="C6" s="9" t="s">
        <v>949</v>
      </c>
      <c r="D6" s="15" t="s">
        <v>65</v>
      </c>
      <c r="E6" s="15" t="s">
        <v>26</v>
      </c>
    </row>
    <row r="7" spans="1:5" x14ac:dyDescent="0.25">
      <c r="A7" s="13" t="s">
        <v>950</v>
      </c>
      <c r="B7" s="6" t="s">
        <v>951</v>
      </c>
      <c r="C7" s="6" t="s">
        <v>952</v>
      </c>
      <c r="D7" s="13" t="s">
        <v>65</v>
      </c>
      <c r="E7" s="13" t="s">
        <v>32</v>
      </c>
    </row>
    <row r="8" spans="1:5" x14ac:dyDescent="0.25">
      <c r="A8" s="15" t="s">
        <v>953</v>
      </c>
      <c r="B8" s="9" t="s">
        <v>954</v>
      </c>
      <c r="C8" s="9" t="s">
        <v>955</v>
      </c>
      <c r="D8" s="15" t="s">
        <v>65</v>
      </c>
      <c r="E8" s="15" t="s">
        <v>26</v>
      </c>
    </row>
    <row r="9" spans="1:5" x14ac:dyDescent="0.25">
      <c r="A9" s="13" t="s">
        <v>956</v>
      </c>
      <c r="B9" s="6" t="s">
        <v>957</v>
      </c>
      <c r="C9" s="6" t="s">
        <v>958</v>
      </c>
      <c r="D9" s="13" t="s">
        <v>65</v>
      </c>
      <c r="E9" s="13" t="s">
        <v>26</v>
      </c>
    </row>
    <row r="10" spans="1:5" x14ac:dyDescent="0.25">
      <c r="A10" s="15" t="s">
        <v>959</v>
      </c>
      <c r="B10" s="9" t="s">
        <v>960</v>
      </c>
      <c r="C10" s="9" t="s">
        <v>961</v>
      </c>
      <c r="D10" s="15" t="s">
        <v>65</v>
      </c>
      <c r="E10" s="15" t="s">
        <v>29</v>
      </c>
    </row>
  </sheetData>
  <autoFilter ref="A2:E10"/>
  <mergeCells count="1">
    <mergeCell ref="A1:E1"/>
  </mergeCells>
  <conditionalFormatting sqref="D3:D10">
    <cfRule type="cellIs" dxfId="172" priority="1" operator="equal">
      <formula>"Completed"</formula>
    </cfRule>
    <cfRule type="cellIs" dxfId="173" priority="2" operator="equal">
      <formula>"In Progress"</formula>
    </cfRule>
    <cfRule type="cellIs" dxfId="174" priority="3" operator="equal">
      <formula>"Review"</formula>
    </cfRule>
    <cfRule type="cellIs" dxfId="175" priority="4" operator="equal">
      <formula>"Blocked"</formula>
    </cfRule>
    <cfRule type="cellIs" dxfId="176" priority="5" operator="equal">
      <formula>"Not Started"</formula>
    </cfRule>
  </conditionalFormatting>
  <dataValidations count="2">
    <dataValidation type="list" allowBlank="1" sqref="D10">
      <formula1>"Not Started,In Progress,Review,Completed,Blocked"</formula1>
    </dataValidation>
    <dataValidation type="list" allowBlank="1" sqref="D3:D10">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2" width="40" customWidth="1"/>
    <col min="3" max="3" width="36" customWidth="1"/>
    <col min="4" max="4" width="40" customWidth="1"/>
    <col min="5" max="7" width="36" customWidth="1"/>
  </cols>
  <sheetData>
    <row r="1" ht="24" customHeight="1" spans="1:7" x14ac:dyDescent="0.25">
      <c r="A1" s="40" t="s">
        <v>962</v>
      </c>
      <c r="B1" s="40"/>
      <c r="C1" s="40"/>
      <c r="D1" s="40"/>
      <c r="E1" s="40"/>
      <c r="F1" s="40"/>
      <c r="G1" s="40"/>
    </row>
    <row r="2" ht="26" customHeight="1" spans="1:7" x14ac:dyDescent="0.25">
      <c r="A2" s="12" t="s">
        <v>963</v>
      </c>
      <c r="B2" s="12" t="s">
        <v>964</v>
      </c>
      <c r="C2" s="12" t="s">
        <v>905</v>
      </c>
      <c r="D2" s="12" t="s">
        <v>965</v>
      </c>
      <c r="E2" s="12" t="s">
        <v>966</v>
      </c>
      <c r="F2" s="12" t="s">
        <v>48</v>
      </c>
      <c r="G2" s="12" t="s">
        <v>967</v>
      </c>
    </row>
    <row r="3" spans="1:7" x14ac:dyDescent="0.25">
      <c r="A3" s="13" t="s">
        <v>968</v>
      </c>
      <c r="B3" s="6" t="s">
        <v>969</v>
      </c>
      <c r="C3" s="13" t="s">
        <v>64</v>
      </c>
      <c r="D3" s="6" t="s">
        <v>970</v>
      </c>
      <c r="E3" s="13" t="s">
        <v>32</v>
      </c>
      <c r="F3" s="13" t="s">
        <v>828</v>
      </c>
      <c r="G3" s="13" t="s">
        <v>73</v>
      </c>
    </row>
    <row r="4" spans="1:7" x14ac:dyDescent="0.25">
      <c r="A4" s="15" t="s">
        <v>971</v>
      </c>
      <c r="B4" s="9" t="s">
        <v>972</v>
      </c>
      <c r="C4" s="15" t="s">
        <v>64</v>
      </c>
      <c r="D4" s="9" t="s">
        <v>973</v>
      </c>
      <c r="E4" s="15" t="s">
        <v>26</v>
      </c>
      <c r="F4" s="15" t="s">
        <v>828</v>
      </c>
      <c r="G4" s="15" t="s">
        <v>73</v>
      </c>
    </row>
    <row r="5" spans="1:7" x14ac:dyDescent="0.25">
      <c r="A5" s="13" t="s">
        <v>974</v>
      </c>
      <c r="B5" s="6" t="s">
        <v>975</v>
      </c>
      <c r="C5" s="13" t="s">
        <v>107</v>
      </c>
      <c r="D5" s="6" t="s">
        <v>976</v>
      </c>
      <c r="E5" s="13" t="s">
        <v>29</v>
      </c>
      <c r="F5" s="13" t="s">
        <v>828</v>
      </c>
      <c r="G5" s="13" t="s">
        <v>73</v>
      </c>
    </row>
    <row r="6" spans="1:7" x14ac:dyDescent="0.25">
      <c r="A6" s="15" t="s">
        <v>977</v>
      </c>
      <c r="B6" s="9" t="s">
        <v>978</v>
      </c>
      <c r="C6" s="15" t="s">
        <v>64</v>
      </c>
      <c r="D6" s="9" t="s">
        <v>979</v>
      </c>
      <c r="E6" s="15" t="s">
        <v>35</v>
      </c>
      <c r="F6" s="15" t="s">
        <v>828</v>
      </c>
      <c r="G6" s="15" t="s">
        <v>73</v>
      </c>
    </row>
    <row r="7" spans="1:7" x14ac:dyDescent="0.25">
      <c r="A7" s="13" t="s">
        <v>980</v>
      </c>
      <c r="B7" s="6" t="s">
        <v>981</v>
      </c>
      <c r="C7" s="13" t="s">
        <v>107</v>
      </c>
      <c r="D7" s="6" t="s">
        <v>982</v>
      </c>
      <c r="E7" s="13" t="s">
        <v>38</v>
      </c>
      <c r="F7" s="13" t="s">
        <v>828</v>
      </c>
      <c r="G7" s="13" t="s">
        <v>73</v>
      </c>
    </row>
    <row r="8" spans="1:7" x14ac:dyDescent="0.25">
      <c r="A8" s="15" t="s">
        <v>983</v>
      </c>
      <c r="B8" s="9" t="s">
        <v>984</v>
      </c>
      <c r="C8" s="15" t="s">
        <v>107</v>
      </c>
      <c r="D8" s="9" t="s">
        <v>985</v>
      </c>
      <c r="E8" s="15" t="s">
        <v>26</v>
      </c>
      <c r="F8" s="15" t="s">
        <v>828</v>
      </c>
      <c r="G8" s="15" t="s">
        <v>73</v>
      </c>
    </row>
    <row r="9" spans="1:7" x14ac:dyDescent="0.25">
      <c r="A9" s="13" t="s">
        <v>986</v>
      </c>
      <c r="B9" s="6" t="s">
        <v>987</v>
      </c>
      <c r="C9" s="13" t="s">
        <v>64</v>
      </c>
      <c r="D9" s="6" t="s">
        <v>988</v>
      </c>
      <c r="E9" s="13" t="s">
        <v>63</v>
      </c>
      <c r="F9" s="13" t="s">
        <v>828</v>
      </c>
      <c r="G9" s="13" t="s">
        <v>73</v>
      </c>
    </row>
  </sheetData>
  <autoFilter ref="A2:G9"/>
  <mergeCells count="1">
    <mergeCell ref="A1:G1"/>
  </mergeCells>
  <conditionalFormatting sqref="C3:C9">
    <cfRule type="cellIs" dxfId="177" priority="1" operator="equal">
      <formula>"Critical"</formula>
    </cfRule>
    <cfRule type="cellIs" dxfId="178" priority="2" operator="equal">
      <formula>"High"</formula>
    </cfRule>
    <cfRule type="cellIs" dxfId="179" priority="3" operator="equal">
      <formula>"Medium"</formula>
    </cfRule>
    <cfRule type="cellIs" dxfId="180" priority="4" operator="equal">
      <formula>"Low"</formula>
    </cfRule>
  </conditionalFormatting>
  <dataValidations count="3">
    <dataValidation type="list" allowBlank="1" sqref="C3:C9">
      <formula1>"Critical,High,Medium,Low"</formula1>
    </dataValidation>
    <dataValidation type="list" allowBlank="1" sqref="F3:F9">
      <formula1>"Open,Mitigated,Closed"</formula1>
    </dataValidation>
    <dataValidation type="list" allowBlank="1" sqref="G3:G9">
      <formula1>"Yes,No"</formula1>
    </dataValidation>
  </dataValidation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2" topLeftCell="A3" activePane="bottomLeft" state="frozen"/>
      <selection pane="bottomLeft"/>
    </sheetView>
  </sheetViews>
  <sheetFormatPr defaultRowHeight="15" outlineLevelRow="0" outlineLevelCol="0" x14ac:dyDescent="55"/>
  <cols>
    <col min="1" max="5" width="40" customWidth="1"/>
  </cols>
  <sheetData>
    <row r="1" ht="24" customHeight="1" spans="1:5" x14ac:dyDescent="0.25">
      <c r="A1" s="40" t="s">
        <v>989</v>
      </c>
      <c r="B1" s="40"/>
      <c r="C1" s="40"/>
      <c r="D1" s="40"/>
      <c r="E1" s="40"/>
    </row>
    <row r="2" ht="26" customHeight="1" spans="1:5" x14ac:dyDescent="0.25">
      <c r="A2" s="12" t="s">
        <v>990</v>
      </c>
      <c r="B2" s="12" t="s">
        <v>991</v>
      </c>
      <c r="C2" s="12" t="s">
        <v>992</v>
      </c>
      <c r="D2" s="12" t="s">
        <v>48</v>
      </c>
      <c r="E2" s="12" t="s">
        <v>993</v>
      </c>
    </row>
    <row r="3" spans="1:5" x14ac:dyDescent="0.25">
      <c r="A3" s="13" t="s">
        <v>994</v>
      </c>
      <c r="B3" s="6" t="s">
        <v>995</v>
      </c>
      <c r="C3" s="13" t="s">
        <v>23</v>
      </c>
      <c r="D3" s="13" t="s">
        <v>17</v>
      </c>
      <c r="E3" s="6" t="s">
        <v>996</v>
      </c>
    </row>
    <row r="4" spans="1:5" x14ac:dyDescent="0.25">
      <c r="A4" s="15" t="s">
        <v>997</v>
      </c>
      <c r="B4" s="9" t="s">
        <v>998</v>
      </c>
      <c r="C4" s="15" t="s">
        <v>26</v>
      </c>
      <c r="D4" s="15" t="s">
        <v>17</v>
      </c>
      <c r="E4" s="9" t="s">
        <v>999</v>
      </c>
    </row>
    <row r="5" spans="1:5" x14ac:dyDescent="0.25">
      <c r="A5" s="13" t="s">
        <v>1000</v>
      </c>
      <c r="B5" s="6" t="s">
        <v>1001</v>
      </c>
      <c r="C5" s="13" t="s">
        <v>26</v>
      </c>
      <c r="D5" s="13" t="s">
        <v>17</v>
      </c>
      <c r="E5" s="6" t="s">
        <v>1002</v>
      </c>
    </row>
    <row r="6" spans="1:5" x14ac:dyDescent="0.25">
      <c r="A6" s="15" t="s">
        <v>1003</v>
      </c>
      <c r="B6" s="9" t="s">
        <v>1004</v>
      </c>
      <c r="C6" s="15" t="s">
        <v>32</v>
      </c>
      <c r="D6" s="15" t="s">
        <v>17</v>
      </c>
      <c r="E6" s="9" t="s">
        <v>1005</v>
      </c>
    </row>
    <row r="7" spans="1:5" x14ac:dyDescent="0.25">
      <c r="A7" s="13" t="s">
        <v>1006</v>
      </c>
      <c r="B7" s="6" t="s">
        <v>1007</v>
      </c>
      <c r="C7" s="13" t="s">
        <v>23</v>
      </c>
      <c r="D7" s="13" t="s">
        <v>17</v>
      </c>
      <c r="E7" s="6" t="s">
        <v>1008</v>
      </c>
    </row>
    <row r="8" spans="1:5" x14ac:dyDescent="0.25">
      <c r="A8" s="15" t="s">
        <v>1009</v>
      </c>
      <c r="B8" s="9" t="s">
        <v>1010</v>
      </c>
      <c r="C8" s="15" t="s">
        <v>23</v>
      </c>
      <c r="D8" s="15" t="s">
        <v>17</v>
      </c>
      <c r="E8" s="9" t="s">
        <v>1011</v>
      </c>
    </row>
  </sheetData>
  <autoFilter ref="A2:E8"/>
  <mergeCells count="1">
    <mergeCell ref="A1:E1"/>
  </mergeCells>
  <conditionalFormatting sqref="D3:D8">
    <cfRule type="cellIs" dxfId="181" priority="1" operator="equal">
      <formula>"Completed"</formula>
    </cfRule>
    <cfRule type="cellIs" dxfId="182" priority="2" operator="equal">
      <formula>"In Progress"</formula>
    </cfRule>
    <cfRule type="cellIs" dxfId="183" priority="3" operator="equal">
      <formula>"Review"</formula>
    </cfRule>
    <cfRule type="cellIs" dxfId="184" priority="4" operator="equal">
      <formula>"Blocked"</formula>
    </cfRule>
    <cfRule type="cellIs" dxfId="185" priority="5" operator="equal">
      <formula>"Not Started"</formula>
    </cfRule>
  </conditionalFormatting>
  <dataValidations count="1">
    <dataValidation type="list" allowBlank="1" sqref="D3:D8">
      <formula1>"Not Started,In Progress,Review,Completed,Blocked"</formula1>
    </dataValidation>
  </dataValidation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pane ySplit="2" topLeftCell="A3" activePane="bottomLeft" state="frozen"/>
      <selection pane="bottomLeft"/>
    </sheetView>
  </sheetViews>
  <sheetFormatPr defaultRowHeight="15" outlineLevelRow="0" outlineLevelCol="0" x14ac:dyDescent="55"/>
  <cols>
    <col min="1" max="12" width="40" customWidth="1"/>
  </cols>
  <sheetData>
    <row r="1" ht="24" customHeight="1" spans="1:12" x14ac:dyDescent="0.25">
      <c r="A1" s="40" t="s">
        <v>1012</v>
      </c>
      <c r="B1" s="40"/>
      <c r="C1" s="40"/>
      <c r="D1" s="40"/>
      <c r="E1" s="40"/>
      <c r="F1" s="40"/>
      <c r="G1" s="40"/>
      <c r="H1" s="40"/>
      <c r="I1" s="40"/>
      <c r="J1" s="40"/>
      <c r="K1" s="40"/>
      <c r="L1" s="40"/>
    </row>
    <row r="2" ht="26" customHeight="1" spans="1:12" x14ac:dyDescent="0.25">
      <c r="A2" s="12" t="s">
        <v>892</v>
      </c>
      <c r="B2" s="12" t="s">
        <v>1013</v>
      </c>
      <c r="C2" s="12" t="s">
        <v>1014</v>
      </c>
      <c r="D2" s="12" t="s">
        <v>1015</v>
      </c>
      <c r="E2" s="12" t="s">
        <v>1016</v>
      </c>
      <c r="F2" s="12" t="s">
        <v>1017</v>
      </c>
      <c r="G2" s="12" t="s">
        <v>1018</v>
      </c>
      <c r="H2" s="12" t="s">
        <v>1019</v>
      </c>
      <c r="I2" s="12" t="s">
        <v>1020</v>
      </c>
      <c r="J2" s="12" t="s">
        <v>1021</v>
      </c>
      <c r="K2" s="12" t="s">
        <v>992</v>
      </c>
      <c r="L2" s="12" t="s">
        <v>1022</v>
      </c>
    </row>
    <row r="3" spans="1:12" x14ac:dyDescent="0.25">
      <c r="A3" s="9" t="s">
        <v>829</v>
      </c>
      <c r="B3" s="9" t="s">
        <v>26</v>
      </c>
      <c r="C3" s="9" t="s">
        <v>1023</v>
      </c>
      <c r="D3" s="9" t="s">
        <v>1024</v>
      </c>
      <c r="E3" s="9" t="s">
        <v>66</v>
      </c>
      <c r="F3" s="9" t="s">
        <v>66</v>
      </c>
      <c r="G3" s="9" t="s">
        <v>1025</v>
      </c>
      <c r="H3" s="9" t="s">
        <v>1026</v>
      </c>
      <c r="I3" s="9" t="s">
        <v>1027</v>
      </c>
      <c r="J3" s="9" t="s">
        <v>1028</v>
      </c>
      <c r="K3" s="9" t="s">
        <v>26</v>
      </c>
      <c r="L3" s="9" t="s">
        <v>1029</v>
      </c>
    </row>
    <row r="4" spans="1:12" x14ac:dyDescent="0.25">
      <c r="A4" s="6"/>
      <c r="B4" s="6"/>
      <c r="C4" s="6"/>
      <c r="D4" s="6"/>
      <c r="E4" s="6"/>
      <c r="F4" s="6"/>
      <c r="G4" s="6"/>
      <c r="H4" s="6"/>
      <c r="I4" s="6"/>
      <c r="J4" s="6"/>
      <c r="K4" s="6"/>
      <c r="L4" s="6"/>
    </row>
    <row r="5" spans="1:12" x14ac:dyDescent="0.25">
      <c r="A5" s="9"/>
      <c r="B5" s="9"/>
      <c r="C5" s="9"/>
      <c r="D5" s="9"/>
      <c r="E5" s="9"/>
      <c r="F5" s="9"/>
      <c r="G5" s="9"/>
      <c r="H5" s="9"/>
      <c r="I5" s="9"/>
      <c r="J5" s="9"/>
      <c r="K5" s="9"/>
      <c r="L5" s="9"/>
    </row>
    <row r="6" spans="1:12" x14ac:dyDescent="0.25">
      <c r="A6" s="6"/>
      <c r="B6" s="6"/>
      <c r="C6" s="6"/>
      <c r="D6" s="6"/>
      <c r="E6" s="6"/>
      <c r="F6" s="6"/>
      <c r="G6" s="6"/>
      <c r="H6" s="6"/>
      <c r="I6" s="6"/>
      <c r="J6" s="6"/>
      <c r="K6" s="6"/>
      <c r="L6" s="6"/>
    </row>
    <row r="7" spans="1:12" x14ac:dyDescent="0.25">
      <c r="A7" s="9"/>
      <c r="B7" s="9"/>
      <c r="C7" s="9"/>
      <c r="D7" s="9"/>
      <c r="E7" s="9"/>
      <c r="F7" s="9"/>
      <c r="G7" s="9"/>
      <c r="H7" s="9"/>
      <c r="I7" s="9"/>
      <c r="J7" s="9"/>
      <c r="K7" s="9"/>
      <c r="L7" s="9"/>
    </row>
    <row r="8" spans="1:12" x14ac:dyDescent="0.25">
      <c r="A8" s="6"/>
      <c r="B8" s="6"/>
      <c r="C8" s="6"/>
      <c r="D8" s="6"/>
      <c r="E8" s="6"/>
      <c r="F8" s="6"/>
      <c r="G8" s="6"/>
      <c r="H8" s="6"/>
      <c r="I8" s="6"/>
      <c r="J8" s="6"/>
      <c r="K8" s="6"/>
      <c r="L8" s="6"/>
    </row>
    <row r="9" spans="1:12" x14ac:dyDescent="0.25">
      <c r="A9" s="9"/>
      <c r="B9" s="9"/>
      <c r="C9" s="9"/>
      <c r="D9" s="9"/>
      <c r="E9" s="9"/>
      <c r="F9" s="9"/>
      <c r="G9" s="9"/>
      <c r="H9" s="9"/>
      <c r="I9" s="9"/>
      <c r="J9" s="9"/>
      <c r="K9" s="9"/>
      <c r="L9" s="9"/>
    </row>
    <row r="10" spans="1:12" x14ac:dyDescent="0.25">
      <c r="A10" s="6"/>
      <c r="B10" s="6"/>
      <c r="C10" s="6"/>
      <c r="D10" s="6"/>
      <c r="E10" s="6"/>
      <c r="F10" s="6"/>
      <c r="G10" s="6"/>
      <c r="H10" s="6"/>
      <c r="I10" s="6"/>
      <c r="J10" s="6"/>
      <c r="K10" s="6"/>
      <c r="L10" s="6"/>
    </row>
    <row r="11" spans="1:12" x14ac:dyDescent="0.25">
      <c r="A11" s="9"/>
      <c r="B11" s="9"/>
      <c r="C11" s="9"/>
      <c r="D11" s="9"/>
      <c r="E11" s="9"/>
      <c r="F11" s="9"/>
      <c r="G11" s="9"/>
      <c r="H11" s="9"/>
      <c r="I11" s="9"/>
      <c r="J11" s="9"/>
      <c r="K11" s="9"/>
      <c r="L11" s="9"/>
    </row>
    <row r="12" spans="1:12" x14ac:dyDescent="0.25">
      <c r="A12" s="6"/>
      <c r="B12" s="6"/>
      <c r="C12" s="6"/>
      <c r="D12" s="6"/>
      <c r="E12" s="6"/>
      <c r="F12" s="6"/>
      <c r="G12" s="6"/>
      <c r="H12" s="6"/>
      <c r="I12" s="6"/>
      <c r="J12" s="6"/>
      <c r="K12" s="6"/>
      <c r="L12" s="6"/>
    </row>
    <row r="13" spans="1:12" x14ac:dyDescent="0.25">
      <c r="A13" s="9"/>
      <c r="B13" s="9"/>
      <c r="C13" s="9"/>
      <c r="D13" s="9"/>
      <c r="E13" s="9"/>
      <c r="F13" s="9"/>
      <c r="G13" s="9"/>
      <c r="H13" s="9"/>
      <c r="I13" s="9"/>
      <c r="J13" s="9"/>
      <c r="K13" s="9"/>
      <c r="L13" s="9"/>
    </row>
    <row r="14" spans="1:12" x14ac:dyDescent="0.25">
      <c r="A14" s="6"/>
      <c r="B14" s="6"/>
      <c r="C14" s="6"/>
      <c r="D14" s="6"/>
      <c r="E14" s="6"/>
      <c r="F14" s="6"/>
      <c r="G14" s="6"/>
      <c r="H14" s="6"/>
      <c r="I14" s="6"/>
      <c r="J14" s="6"/>
      <c r="K14" s="6"/>
      <c r="L14" s="6"/>
    </row>
    <row r="15" spans="1:12" x14ac:dyDescent="0.25">
      <c r="A15" s="9"/>
      <c r="B15" s="9"/>
      <c r="C15" s="9"/>
      <c r="D15" s="9"/>
      <c r="E15" s="9"/>
      <c r="F15" s="9"/>
      <c r="G15" s="9"/>
      <c r="H15" s="9"/>
      <c r="I15" s="9"/>
      <c r="J15" s="9"/>
      <c r="K15" s="9"/>
      <c r="L15" s="9"/>
    </row>
    <row r="16" spans="1:12" x14ac:dyDescent="0.25">
      <c r="A16" s="6"/>
      <c r="B16" s="6"/>
      <c r="C16" s="6"/>
      <c r="D16" s="6"/>
      <c r="E16" s="6"/>
      <c r="F16" s="6"/>
      <c r="G16" s="6"/>
      <c r="H16" s="6"/>
      <c r="I16" s="6"/>
      <c r="J16" s="6"/>
      <c r="K16" s="6"/>
      <c r="L16" s="6"/>
    </row>
    <row r="17" spans="1:12" x14ac:dyDescent="0.25">
      <c r="A17" s="9"/>
      <c r="B17" s="9"/>
      <c r="C17" s="9"/>
      <c r="D17" s="9"/>
      <c r="E17" s="9"/>
      <c r="F17" s="9"/>
      <c r="G17" s="9"/>
      <c r="H17" s="9"/>
      <c r="I17" s="9"/>
      <c r="J17" s="9"/>
      <c r="K17" s="9"/>
      <c r="L17" s="9"/>
    </row>
    <row r="18" spans="1:12" x14ac:dyDescent="0.25">
      <c r="A18" s="6"/>
      <c r="B18" s="6"/>
      <c r="C18" s="6"/>
      <c r="D18" s="6"/>
      <c r="E18" s="6"/>
      <c r="F18" s="6"/>
      <c r="G18" s="6"/>
      <c r="H18" s="6"/>
      <c r="I18" s="6"/>
      <c r="J18" s="6"/>
      <c r="K18" s="6"/>
      <c r="L18" s="6"/>
    </row>
    <row r="19" spans="1:12" x14ac:dyDescent="0.25">
      <c r="A19" s="9"/>
      <c r="B19" s="9"/>
      <c r="C19" s="9"/>
      <c r="D19" s="9"/>
      <c r="E19" s="9"/>
      <c r="F19" s="9"/>
      <c r="G19" s="9"/>
      <c r="H19" s="9"/>
      <c r="I19" s="9"/>
      <c r="J19" s="9"/>
      <c r="K19" s="9"/>
      <c r="L19" s="9"/>
    </row>
    <row r="20" spans="1:12" x14ac:dyDescent="0.25">
      <c r="A20" s="6"/>
      <c r="B20" s="6"/>
      <c r="C20" s="6"/>
      <c r="D20" s="6"/>
      <c r="E20" s="6"/>
      <c r="F20" s="6"/>
      <c r="G20" s="6"/>
      <c r="H20" s="6"/>
      <c r="I20" s="6"/>
      <c r="J20" s="6"/>
      <c r="K20" s="6"/>
      <c r="L20" s="6"/>
    </row>
    <row r="21" spans="1:12" x14ac:dyDescent="0.25">
      <c r="A21" s="9"/>
      <c r="B21" s="9"/>
      <c r="C21" s="9"/>
      <c r="D21" s="9"/>
      <c r="E21" s="9"/>
      <c r="F21" s="9"/>
      <c r="G21" s="9"/>
      <c r="H21" s="9"/>
      <c r="I21" s="9"/>
      <c r="J21" s="9"/>
      <c r="K21" s="9"/>
      <c r="L21" s="9"/>
    </row>
    <row r="22" spans="1:12" x14ac:dyDescent="0.25">
      <c r="A22" s="6"/>
      <c r="B22" s="6"/>
      <c r="C22" s="6"/>
      <c r="D22" s="6"/>
      <c r="E22" s="6"/>
      <c r="F22" s="6"/>
      <c r="G22" s="6"/>
      <c r="H22" s="6"/>
      <c r="I22" s="6"/>
      <c r="J22" s="6"/>
      <c r="K22" s="6"/>
      <c r="L22" s="6"/>
    </row>
    <row r="23" spans="1:12" x14ac:dyDescent="0.25">
      <c r="A23" s="9"/>
      <c r="B23" s="9"/>
      <c r="C23" s="9"/>
      <c r="D23" s="9"/>
      <c r="E23" s="9"/>
      <c r="F23" s="9"/>
      <c r="G23" s="9"/>
      <c r="H23" s="9"/>
      <c r="I23" s="9"/>
      <c r="J23" s="9"/>
      <c r="K23" s="9"/>
      <c r="L23" s="9"/>
    </row>
    <row r="24" spans="1:12" x14ac:dyDescent="0.25">
      <c r="A24" s="6"/>
      <c r="B24" s="6"/>
      <c r="C24" s="6"/>
      <c r="D24" s="6"/>
      <c r="E24" s="6"/>
      <c r="F24" s="6"/>
      <c r="G24" s="6"/>
      <c r="H24" s="6"/>
      <c r="I24" s="6"/>
      <c r="J24" s="6"/>
      <c r="K24" s="6"/>
      <c r="L24" s="6"/>
    </row>
    <row r="25" spans="1:12" x14ac:dyDescent="0.25">
      <c r="A25" s="9"/>
      <c r="B25" s="9"/>
      <c r="C25" s="9"/>
      <c r="D25" s="9"/>
      <c r="E25" s="9"/>
      <c r="F25" s="9"/>
      <c r="G25" s="9"/>
      <c r="H25" s="9"/>
      <c r="I25" s="9"/>
      <c r="J25" s="9"/>
      <c r="K25" s="9"/>
      <c r="L25" s="9"/>
    </row>
    <row r="26" spans="1:12" x14ac:dyDescent="0.25">
      <c r="A26" s="6"/>
      <c r="B26" s="6"/>
      <c r="C26" s="6"/>
      <c r="D26" s="6"/>
      <c r="E26" s="6"/>
      <c r="F26" s="6"/>
      <c r="G26" s="6"/>
      <c r="H26" s="6"/>
      <c r="I26" s="6"/>
      <c r="J26" s="6"/>
      <c r="K26" s="6"/>
      <c r="L26" s="6"/>
    </row>
    <row r="27" spans="1:12" x14ac:dyDescent="0.25">
      <c r="A27" s="9"/>
      <c r="B27" s="9"/>
      <c r="C27" s="9"/>
      <c r="D27" s="9"/>
      <c r="E27" s="9"/>
      <c r="F27" s="9"/>
      <c r="G27" s="9"/>
      <c r="H27" s="9"/>
      <c r="I27" s="9"/>
      <c r="J27" s="9"/>
      <c r="K27" s="9"/>
      <c r="L27" s="9"/>
    </row>
    <row r="28" spans="1:12" x14ac:dyDescent="0.25">
      <c r="A28" s="6"/>
      <c r="B28" s="6"/>
      <c r="C28" s="6"/>
      <c r="D28" s="6"/>
      <c r="E28" s="6"/>
      <c r="F28" s="6"/>
      <c r="G28" s="6"/>
      <c r="H28" s="6"/>
      <c r="I28" s="6"/>
      <c r="J28" s="6"/>
      <c r="K28" s="6"/>
      <c r="L28" s="6"/>
    </row>
    <row r="29" spans="1:12" x14ac:dyDescent="0.25">
      <c r="A29" s="9"/>
      <c r="B29" s="9"/>
      <c r="C29" s="9"/>
      <c r="D29" s="9"/>
      <c r="E29" s="9"/>
      <c r="F29" s="9"/>
      <c r="G29" s="9"/>
      <c r="H29" s="9"/>
      <c r="I29" s="9"/>
      <c r="J29" s="9"/>
      <c r="K29" s="9"/>
      <c r="L29" s="9"/>
    </row>
    <row r="30" spans="1:12" x14ac:dyDescent="0.25">
      <c r="A30" s="6"/>
      <c r="B30" s="6"/>
      <c r="C30" s="6"/>
      <c r="D30" s="6"/>
      <c r="E30" s="6"/>
      <c r="F30" s="6"/>
      <c r="G30" s="6"/>
      <c r="H30" s="6"/>
      <c r="I30" s="6"/>
      <c r="J30" s="6"/>
      <c r="K30" s="6"/>
      <c r="L30" s="6"/>
    </row>
  </sheetData>
  <autoFilter ref="A2:L30"/>
  <mergeCells count="1">
    <mergeCell ref="A1:L1"/>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2" topLeftCell="A3" activePane="bottomLeft" state="frozen"/>
      <selection pane="bottomLeft"/>
    </sheetView>
  </sheetViews>
  <sheetFormatPr defaultRowHeight="15" outlineLevelRow="0" outlineLevelCol="0" x14ac:dyDescent="55"/>
  <cols>
    <col min="1" max="9" width="40" customWidth="1"/>
  </cols>
  <sheetData>
    <row r="1" ht="24" customHeight="1" spans="1:9" x14ac:dyDescent="0.25">
      <c r="A1" s="40" t="s">
        <v>1030</v>
      </c>
      <c r="B1" s="40"/>
      <c r="C1" s="40"/>
      <c r="D1" s="40"/>
      <c r="E1" s="40"/>
      <c r="F1" s="40"/>
      <c r="G1" s="40"/>
      <c r="H1" s="40"/>
      <c r="I1" s="40"/>
    </row>
    <row r="2" ht="26" customHeight="1" spans="1:9" x14ac:dyDescent="0.25">
      <c r="A2" s="12" t="s">
        <v>1031</v>
      </c>
      <c r="B2" s="12" t="s">
        <v>44</v>
      </c>
      <c r="C2" s="12" t="s">
        <v>1032</v>
      </c>
      <c r="D2" s="12" t="s">
        <v>1033</v>
      </c>
      <c r="E2" s="12" t="s">
        <v>1034</v>
      </c>
      <c r="F2" s="12" t="s">
        <v>48</v>
      </c>
      <c r="G2" s="12" t="s">
        <v>1035</v>
      </c>
      <c r="H2" s="12" t="s">
        <v>814</v>
      </c>
      <c r="I2" s="12" t="s">
        <v>59</v>
      </c>
    </row>
    <row r="3" spans="1:9" x14ac:dyDescent="0.25">
      <c r="A3" s="15" t="s">
        <v>1036</v>
      </c>
      <c r="B3" s="9" t="s">
        <v>24</v>
      </c>
      <c r="C3" s="9" t="s">
        <v>1037</v>
      </c>
      <c r="D3" s="9" t="s">
        <v>1038</v>
      </c>
      <c r="E3" s="15" t="s">
        <v>26</v>
      </c>
      <c r="F3" s="15" t="s">
        <v>65</v>
      </c>
      <c r="G3" s="15" t="s">
        <v>73</v>
      </c>
      <c r="H3" s="15" t="s">
        <v>746</v>
      </c>
      <c r="I3" s="9" t="s">
        <v>1039</v>
      </c>
    </row>
    <row r="4" spans="1:9" x14ac:dyDescent="0.25">
      <c r="A4" s="13" t="s">
        <v>1040</v>
      </c>
      <c r="B4" s="6" t="s">
        <v>27</v>
      </c>
      <c r="C4" s="6" t="s">
        <v>1041</v>
      </c>
      <c r="D4" s="6" t="s">
        <v>1042</v>
      </c>
      <c r="E4" s="13" t="s">
        <v>26</v>
      </c>
      <c r="F4" s="13" t="s">
        <v>65</v>
      </c>
      <c r="G4" s="13" t="s">
        <v>73</v>
      </c>
      <c r="H4" s="13" t="s">
        <v>746</v>
      </c>
      <c r="I4" s="6" t="s">
        <v>1043</v>
      </c>
    </row>
    <row r="5" spans="1:9" x14ac:dyDescent="0.25">
      <c r="A5" s="15" t="s">
        <v>1044</v>
      </c>
      <c r="B5" s="9" t="s">
        <v>24</v>
      </c>
      <c r="C5" s="9" t="s">
        <v>1045</v>
      </c>
      <c r="D5" s="9" t="s">
        <v>1046</v>
      </c>
      <c r="E5" s="15" t="s">
        <v>26</v>
      </c>
      <c r="F5" s="15" t="s">
        <v>65</v>
      </c>
      <c r="G5" s="15" t="s">
        <v>73</v>
      </c>
      <c r="H5" s="15" t="s">
        <v>746</v>
      </c>
      <c r="I5" s="9" t="s">
        <v>1047</v>
      </c>
    </row>
    <row r="6" spans="1:9" x14ac:dyDescent="0.25">
      <c r="A6" s="13" t="s">
        <v>1048</v>
      </c>
      <c r="B6" s="6" t="s">
        <v>27</v>
      </c>
      <c r="C6" s="6" t="s">
        <v>1049</v>
      </c>
      <c r="D6" s="6" t="s">
        <v>1050</v>
      </c>
      <c r="E6" s="13" t="s">
        <v>23</v>
      </c>
      <c r="F6" s="13" t="s">
        <v>65</v>
      </c>
      <c r="G6" s="13" t="s">
        <v>73</v>
      </c>
      <c r="H6" s="13" t="s">
        <v>746</v>
      </c>
      <c r="I6" s="6" t="s">
        <v>1051</v>
      </c>
    </row>
    <row r="7" spans="1:9" x14ac:dyDescent="0.25">
      <c r="A7" s="15" t="s">
        <v>1052</v>
      </c>
      <c r="B7" s="9" t="s">
        <v>36</v>
      </c>
      <c r="C7" s="9" t="s">
        <v>1053</v>
      </c>
      <c r="D7" s="9" t="s">
        <v>1042</v>
      </c>
      <c r="E7" s="15" t="s">
        <v>35</v>
      </c>
      <c r="F7" s="15" t="s">
        <v>65</v>
      </c>
      <c r="G7" s="15" t="s">
        <v>73</v>
      </c>
      <c r="H7" s="15" t="s">
        <v>746</v>
      </c>
      <c r="I7" s="9" t="s">
        <v>1054</v>
      </c>
    </row>
    <row r="8" spans="1:9" x14ac:dyDescent="0.25">
      <c r="A8" s="13" t="s">
        <v>1055</v>
      </c>
      <c r="B8" s="6" t="s">
        <v>33</v>
      </c>
      <c r="C8" s="6" t="s">
        <v>1056</v>
      </c>
      <c r="D8" s="6" t="s">
        <v>1057</v>
      </c>
      <c r="E8" s="13" t="s">
        <v>26</v>
      </c>
      <c r="F8" s="13" t="s">
        <v>65</v>
      </c>
      <c r="G8" s="13" t="s">
        <v>73</v>
      </c>
      <c r="H8" s="13" t="s">
        <v>746</v>
      </c>
      <c r="I8" s="6" t="s">
        <v>1058</v>
      </c>
    </row>
    <row r="9" spans="1:9" x14ac:dyDescent="0.25">
      <c r="A9" s="15" t="s">
        <v>1059</v>
      </c>
      <c r="B9" s="9" t="s">
        <v>36</v>
      </c>
      <c r="C9" s="9" t="s">
        <v>36</v>
      </c>
      <c r="D9" s="9" t="s">
        <v>1060</v>
      </c>
      <c r="E9" s="15" t="s">
        <v>35</v>
      </c>
      <c r="F9" s="15" t="s">
        <v>65</v>
      </c>
      <c r="G9" s="15" t="s">
        <v>73</v>
      </c>
      <c r="H9" s="15" t="s">
        <v>746</v>
      </c>
      <c r="I9" s="9" t="s">
        <v>1061</v>
      </c>
    </row>
    <row r="10" spans="1:9" x14ac:dyDescent="0.25">
      <c r="A10" s="13" t="s">
        <v>1062</v>
      </c>
      <c r="B10" s="6" t="s">
        <v>33</v>
      </c>
      <c r="C10" s="6" t="s">
        <v>1063</v>
      </c>
      <c r="D10" s="6" t="s">
        <v>1046</v>
      </c>
      <c r="E10" s="13" t="s">
        <v>23</v>
      </c>
      <c r="F10" s="13" t="s">
        <v>65</v>
      </c>
      <c r="G10" s="13" t="s">
        <v>73</v>
      </c>
      <c r="H10" s="13" t="s">
        <v>746</v>
      </c>
      <c r="I10" s="6" t="s">
        <v>1064</v>
      </c>
    </row>
    <row r="11" spans="1:9" x14ac:dyDescent="0.25">
      <c r="A11" s="15" t="s">
        <v>1065</v>
      </c>
      <c r="B11" s="9" t="s">
        <v>27</v>
      </c>
      <c r="C11" s="9" t="s">
        <v>1066</v>
      </c>
      <c r="D11" s="9" t="s">
        <v>1067</v>
      </c>
      <c r="E11" s="15" t="s">
        <v>26</v>
      </c>
      <c r="F11" s="15" t="s">
        <v>65</v>
      </c>
      <c r="G11" s="15" t="s">
        <v>73</v>
      </c>
      <c r="H11" s="15" t="s">
        <v>746</v>
      </c>
      <c r="I11" s="9" t="s">
        <v>1068</v>
      </c>
    </row>
    <row r="12" spans="1:9" x14ac:dyDescent="0.25">
      <c r="A12" s="13" t="s">
        <v>1069</v>
      </c>
      <c r="B12" s="6" t="s">
        <v>24</v>
      </c>
      <c r="C12" s="6" t="s">
        <v>1070</v>
      </c>
      <c r="D12" s="6" t="s">
        <v>1046</v>
      </c>
      <c r="E12" s="13" t="s">
        <v>23</v>
      </c>
      <c r="F12" s="13" t="s">
        <v>65</v>
      </c>
      <c r="G12" s="13" t="s">
        <v>73</v>
      </c>
      <c r="H12" s="13" t="s">
        <v>746</v>
      </c>
      <c r="I12" s="6" t="s">
        <v>1071</v>
      </c>
    </row>
    <row r="13" spans="1:9" x14ac:dyDescent="0.25">
      <c r="A13" s="9"/>
      <c r="B13" s="9"/>
      <c r="C13" s="9"/>
      <c r="D13" s="9"/>
      <c r="E13" s="9"/>
      <c r="F13" s="9"/>
      <c r="G13" s="9"/>
      <c r="H13" s="9"/>
      <c r="I13" s="9"/>
    </row>
    <row r="14" spans="1:9" x14ac:dyDescent="0.25">
      <c r="A14" s="6"/>
      <c r="B14" s="6"/>
      <c r="C14" s="6"/>
      <c r="D14" s="6"/>
      <c r="E14" s="6"/>
      <c r="F14" s="6"/>
      <c r="G14" s="6"/>
      <c r="H14" s="6"/>
      <c r="I14" s="6"/>
    </row>
    <row r="15" spans="1:9" x14ac:dyDescent="0.25">
      <c r="A15" s="9"/>
      <c r="B15" s="9"/>
      <c r="C15" s="9"/>
      <c r="D15" s="9"/>
      <c r="E15" s="9"/>
      <c r="F15" s="9"/>
      <c r="G15" s="9"/>
      <c r="H15" s="9"/>
      <c r="I15" s="9"/>
    </row>
    <row r="16" spans="1:9" x14ac:dyDescent="0.25">
      <c r="A16" s="6"/>
      <c r="B16" s="6"/>
      <c r="C16" s="6"/>
      <c r="D16" s="6"/>
      <c r="E16" s="6"/>
      <c r="F16" s="6"/>
      <c r="G16" s="6"/>
      <c r="H16" s="6"/>
      <c r="I16" s="6"/>
    </row>
    <row r="17" spans="1:9" x14ac:dyDescent="0.25">
      <c r="A17" s="9"/>
      <c r="B17" s="9"/>
      <c r="C17" s="9"/>
      <c r="D17" s="9"/>
      <c r="E17" s="9"/>
      <c r="F17" s="9"/>
      <c r="G17" s="9"/>
      <c r="H17" s="9"/>
      <c r="I17" s="9"/>
    </row>
    <row r="18" spans="1:9" x14ac:dyDescent="0.25">
      <c r="A18" s="6"/>
      <c r="B18" s="6"/>
      <c r="C18" s="6"/>
      <c r="D18" s="6"/>
      <c r="E18" s="6"/>
      <c r="F18" s="6"/>
      <c r="G18" s="6"/>
      <c r="H18" s="6"/>
      <c r="I18" s="6"/>
    </row>
    <row r="19" spans="1:9" x14ac:dyDescent="0.25">
      <c r="A19" s="9"/>
      <c r="B19" s="9"/>
      <c r="C19" s="9"/>
      <c r="D19" s="9"/>
      <c r="E19" s="9"/>
      <c r="F19" s="9"/>
      <c r="G19" s="9"/>
      <c r="H19" s="9"/>
      <c r="I19" s="9"/>
    </row>
    <row r="20" spans="1:9" x14ac:dyDescent="0.25">
      <c r="A20" s="6"/>
      <c r="B20" s="6"/>
      <c r="C20" s="6"/>
      <c r="D20" s="6"/>
      <c r="E20" s="6"/>
      <c r="F20" s="6"/>
      <c r="G20" s="6"/>
      <c r="H20" s="6"/>
      <c r="I20" s="6"/>
    </row>
    <row r="21" spans="1:9" x14ac:dyDescent="0.25">
      <c r="A21" s="9"/>
      <c r="B21" s="9"/>
      <c r="C21" s="9"/>
      <c r="D21" s="9"/>
      <c r="E21" s="9"/>
      <c r="F21" s="9"/>
      <c r="G21" s="9"/>
      <c r="H21" s="9"/>
      <c r="I21" s="9"/>
    </row>
    <row r="22" spans="1:9" x14ac:dyDescent="0.25">
      <c r="A22" s="6"/>
      <c r="B22" s="6"/>
      <c r="C22" s="6"/>
      <c r="D22" s="6"/>
      <c r="E22" s="6"/>
      <c r="F22" s="6"/>
      <c r="G22" s="6"/>
      <c r="H22" s="6"/>
      <c r="I22" s="6"/>
    </row>
    <row r="23" spans="1:9" x14ac:dyDescent="0.25">
      <c r="A23" s="9"/>
      <c r="B23" s="9"/>
      <c r="C23" s="9"/>
      <c r="D23" s="9"/>
      <c r="E23" s="9"/>
      <c r="F23" s="9"/>
      <c r="G23" s="9"/>
      <c r="H23" s="9"/>
      <c r="I23" s="9"/>
    </row>
    <row r="24" spans="1:9" x14ac:dyDescent="0.25">
      <c r="A24" s="6"/>
      <c r="B24" s="6"/>
      <c r="C24" s="6"/>
      <c r="D24" s="6"/>
      <c r="E24" s="6"/>
      <c r="F24" s="6"/>
      <c r="G24" s="6"/>
      <c r="H24" s="6"/>
      <c r="I24" s="6"/>
    </row>
    <row r="25" spans="1:9" x14ac:dyDescent="0.25">
      <c r="A25" s="9"/>
      <c r="B25" s="9"/>
      <c r="C25" s="9"/>
      <c r="D25" s="9"/>
      <c r="E25" s="9"/>
      <c r="F25" s="9"/>
      <c r="G25" s="9"/>
      <c r="H25" s="9"/>
      <c r="I25" s="9"/>
    </row>
    <row r="26" spans="1:9" x14ac:dyDescent="0.25">
      <c r="A26" s="6"/>
      <c r="B26" s="6"/>
      <c r="C26" s="6"/>
      <c r="D26" s="6"/>
      <c r="E26" s="6"/>
      <c r="F26" s="6"/>
      <c r="G26" s="6"/>
      <c r="H26" s="6"/>
      <c r="I26" s="6"/>
    </row>
    <row r="27" spans="1:9" x14ac:dyDescent="0.25">
      <c r="A27" s="9"/>
      <c r="B27" s="9"/>
      <c r="C27" s="9"/>
      <c r="D27" s="9"/>
      <c r="E27" s="9"/>
      <c r="F27" s="9"/>
      <c r="G27" s="9"/>
      <c r="H27" s="9"/>
      <c r="I27" s="9"/>
    </row>
    <row r="28" spans="1:9" x14ac:dyDescent="0.25">
      <c r="A28" s="6"/>
      <c r="B28" s="6"/>
      <c r="C28" s="6"/>
      <c r="D28" s="6"/>
      <c r="E28" s="6"/>
      <c r="F28" s="6"/>
      <c r="G28" s="6"/>
      <c r="H28" s="6"/>
      <c r="I28" s="6"/>
    </row>
    <row r="29" spans="1:9" x14ac:dyDescent="0.25">
      <c r="A29" s="9"/>
      <c r="B29" s="9"/>
      <c r="C29" s="9"/>
      <c r="D29" s="9"/>
      <c r="E29" s="9"/>
      <c r="F29" s="9"/>
      <c r="G29" s="9"/>
      <c r="H29" s="9"/>
      <c r="I29" s="9"/>
    </row>
    <row r="30" spans="1:9" x14ac:dyDescent="0.25">
      <c r="A30" s="6"/>
      <c r="B30" s="6"/>
      <c r="C30" s="6"/>
      <c r="D30" s="6"/>
      <c r="E30" s="6"/>
      <c r="F30" s="6"/>
      <c r="G30" s="6"/>
      <c r="H30" s="6"/>
      <c r="I30" s="6"/>
    </row>
  </sheetData>
  <autoFilter ref="A2:I30"/>
  <mergeCells count="1">
    <mergeCell ref="A1:I1"/>
  </mergeCells>
  <conditionalFormatting sqref="F3:F30">
    <cfRule type="cellIs" dxfId="186" priority="1" operator="equal">
      <formula>"Completed"</formula>
    </cfRule>
    <cfRule type="cellIs" dxfId="187" priority="2" operator="equal">
      <formula>"In Progress"</formula>
    </cfRule>
    <cfRule type="cellIs" dxfId="188" priority="3" operator="equal">
      <formula>"Review"</formula>
    </cfRule>
    <cfRule type="cellIs" dxfId="189" priority="4" operator="equal">
      <formula>"Blocked"</formula>
    </cfRule>
    <cfRule type="cellIs" dxfId="190" priority="5" operator="equal">
      <formula>"Not Started"</formula>
    </cfRule>
  </conditionalFormatting>
  <dataValidations count="6">
    <dataValidation type="list" allowBlank="1" sqref="E10:E30">
      <formula1>"Adithyan N,Minha Palakkathodi,Fadi Ahmed"</formula1>
    </dataValidation>
    <dataValidation type="list" allowBlank="1" sqref="E3:E30">
      <formula1>"Adithyan N,Minha Palakkathodi,Fadi Ahmed"</formula1>
    </dataValidation>
    <dataValidation type="list" allowBlank="1" sqref="F10:F30">
      <formula1>"Not Started,In Progress,Passed,Failed,Blocked"</formula1>
    </dataValidation>
    <dataValidation type="list" allowBlank="1" sqref="F3:F30">
      <formula1>"Not Started,In Progress,Passed,Failed,Blocked"</formula1>
    </dataValidation>
    <dataValidation type="list" allowBlank="1" sqref="G10:G30">
      <formula1>"Yes,No"</formula1>
    </dataValidation>
    <dataValidation type="list" allowBlank="1" sqref="G3:G30">
      <formula1>"Yes,No"</formula1>
    </dataValidation>
  </dataValidation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2" topLeftCell="A3" activePane="bottomLeft" state="frozen"/>
      <selection pane="bottomLeft"/>
    </sheetView>
  </sheetViews>
  <sheetFormatPr defaultRowHeight="15" outlineLevelRow="0" outlineLevelCol="0" x14ac:dyDescent="55"/>
  <cols>
    <col min="1" max="7" width="40" customWidth="1"/>
  </cols>
  <sheetData>
    <row r="1" ht="24" customHeight="1" spans="1:7" x14ac:dyDescent="0.25">
      <c r="A1" s="40" t="s">
        <v>1072</v>
      </c>
      <c r="B1" s="40"/>
      <c r="C1" s="40"/>
      <c r="D1" s="40"/>
      <c r="E1" s="40"/>
      <c r="F1" s="40"/>
      <c r="G1" s="40"/>
    </row>
    <row r="2" ht="26" customHeight="1" spans="1:7" x14ac:dyDescent="0.25">
      <c r="A2" s="12" t="s">
        <v>1073</v>
      </c>
      <c r="B2" s="12" t="s">
        <v>992</v>
      </c>
      <c r="C2" s="12" t="s">
        <v>1074</v>
      </c>
      <c r="D2" s="12" t="s">
        <v>823</v>
      </c>
      <c r="E2" s="12" t="s">
        <v>824</v>
      </c>
      <c r="F2" s="12" t="s">
        <v>1075</v>
      </c>
      <c r="G2" s="12" t="s">
        <v>59</v>
      </c>
    </row>
    <row r="3" spans="1:7" x14ac:dyDescent="0.25">
      <c r="A3" s="9" t="s">
        <v>1076</v>
      </c>
      <c r="B3" s="15" t="s">
        <v>26</v>
      </c>
      <c r="C3" s="15" t="s">
        <v>65</v>
      </c>
      <c r="D3" s="15" t="s">
        <v>26</v>
      </c>
      <c r="E3" s="15" t="s">
        <v>746</v>
      </c>
      <c r="F3" s="15" t="s">
        <v>91</v>
      </c>
      <c r="G3" s="9" t="s">
        <v>1077</v>
      </c>
    </row>
    <row r="4" spans="1:7" x14ac:dyDescent="0.25">
      <c r="A4" s="6" t="s">
        <v>1078</v>
      </c>
      <c r="B4" s="13" t="s">
        <v>26</v>
      </c>
      <c r="C4" s="13" t="s">
        <v>65</v>
      </c>
      <c r="D4" s="13" t="s">
        <v>26</v>
      </c>
      <c r="E4" s="13" t="s">
        <v>746</v>
      </c>
      <c r="F4" s="13" t="s">
        <v>91</v>
      </c>
      <c r="G4" s="6" t="s">
        <v>1079</v>
      </c>
    </row>
    <row r="5" spans="1:7" x14ac:dyDescent="0.25">
      <c r="A5" s="9" t="s">
        <v>1080</v>
      </c>
      <c r="B5" s="15" t="s">
        <v>26</v>
      </c>
      <c r="C5" s="15" t="s">
        <v>65</v>
      </c>
      <c r="D5" s="15" t="s">
        <v>26</v>
      </c>
      <c r="E5" s="15" t="s">
        <v>746</v>
      </c>
      <c r="F5" s="15" t="s">
        <v>91</v>
      </c>
      <c r="G5" s="9" t="s">
        <v>1081</v>
      </c>
    </row>
    <row r="6" spans="1:7" x14ac:dyDescent="0.25">
      <c r="A6" s="6" t="s">
        <v>1082</v>
      </c>
      <c r="B6" s="13" t="s">
        <v>26</v>
      </c>
      <c r="C6" s="13" t="s">
        <v>65</v>
      </c>
      <c r="D6" s="13" t="s">
        <v>26</v>
      </c>
      <c r="E6" s="13" t="s">
        <v>746</v>
      </c>
      <c r="F6" s="13" t="s">
        <v>64</v>
      </c>
      <c r="G6" s="6" t="s">
        <v>1083</v>
      </c>
    </row>
    <row r="7" spans="1:7" x14ac:dyDescent="0.25">
      <c r="A7" s="9" t="s">
        <v>1084</v>
      </c>
      <c r="B7" s="15" t="s">
        <v>26</v>
      </c>
      <c r="C7" s="15" t="s">
        <v>65</v>
      </c>
      <c r="D7" s="15" t="s">
        <v>26</v>
      </c>
      <c r="E7" s="15" t="s">
        <v>746</v>
      </c>
      <c r="F7" s="15" t="s">
        <v>64</v>
      </c>
      <c r="G7" s="9" t="s">
        <v>1085</v>
      </c>
    </row>
    <row r="8" spans="1:7" x14ac:dyDescent="0.25">
      <c r="A8" s="6" t="s">
        <v>1086</v>
      </c>
      <c r="B8" s="13" t="s">
        <v>26</v>
      </c>
      <c r="C8" s="13" t="s">
        <v>65</v>
      </c>
      <c r="D8" s="13" t="s">
        <v>26</v>
      </c>
      <c r="E8" s="13" t="s">
        <v>746</v>
      </c>
      <c r="F8" s="13" t="s">
        <v>64</v>
      </c>
      <c r="G8" s="6" t="s">
        <v>1087</v>
      </c>
    </row>
    <row r="9" spans="1:7" x14ac:dyDescent="0.25">
      <c r="A9" s="9" t="s">
        <v>1088</v>
      </c>
      <c r="B9" s="15" t="s">
        <v>26</v>
      </c>
      <c r="C9" s="15" t="s">
        <v>65</v>
      </c>
      <c r="D9" s="15" t="s">
        <v>26</v>
      </c>
      <c r="E9" s="15" t="s">
        <v>746</v>
      </c>
      <c r="F9" s="15" t="s">
        <v>91</v>
      </c>
      <c r="G9" s="9" t="s">
        <v>1089</v>
      </c>
    </row>
    <row r="10" spans="1:7" x14ac:dyDescent="0.25">
      <c r="A10" s="6" t="s">
        <v>1090</v>
      </c>
      <c r="B10" s="13" t="s">
        <v>26</v>
      </c>
      <c r="C10" s="13" t="s">
        <v>65</v>
      </c>
      <c r="D10" s="13" t="s">
        <v>26</v>
      </c>
      <c r="E10" s="13" t="s">
        <v>746</v>
      </c>
      <c r="F10" s="13" t="s">
        <v>64</v>
      </c>
      <c r="G10" s="6" t="s">
        <v>1091</v>
      </c>
    </row>
    <row r="11" spans="1:7" x14ac:dyDescent="0.25">
      <c r="A11" s="9" t="s">
        <v>1092</v>
      </c>
      <c r="B11" s="15" t="s">
        <v>26</v>
      </c>
      <c r="C11" s="15" t="s">
        <v>65</v>
      </c>
      <c r="D11" s="15" t="s">
        <v>26</v>
      </c>
      <c r="E11" s="15" t="s">
        <v>746</v>
      </c>
      <c r="F11" s="15" t="s">
        <v>107</v>
      </c>
      <c r="G11" s="9" t="s">
        <v>1093</v>
      </c>
    </row>
    <row r="12" spans="1:7" x14ac:dyDescent="0.25">
      <c r="A12" s="6" t="s">
        <v>1094</v>
      </c>
      <c r="B12" s="13" t="s">
        <v>26</v>
      </c>
      <c r="C12" s="13" t="s">
        <v>65</v>
      </c>
      <c r="D12" s="13" t="s">
        <v>26</v>
      </c>
      <c r="E12" s="13" t="s">
        <v>746</v>
      </c>
      <c r="F12" s="13" t="s">
        <v>64</v>
      </c>
      <c r="G12" s="6" t="s">
        <v>1095</v>
      </c>
    </row>
    <row r="13" spans="1:7" x14ac:dyDescent="0.25">
      <c r="A13" s="9" t="s">
        <v>1096</v>
      </c>
      <c r="B13" s="15" t="s">
        <v>26</v>
      </c>
      <c r="C13" s="15" t="s">
        <v>65</v>
      </c>
      <c r="D13" s="15" t="s">
        <v>26</v>
      </c>
      <c r="E13" s="15" t="s">
        <v>746</v>
      </c>
      <c r="F13" s="15" t="s">
        <v>91</v>
      </c>
      <c r="G13" s="9" t="s">
        <v>1097</v>
      </c>
    </row>
    <row r="14" spans="1:7" x14ac:dyDescent="0.25">
      <c r="A14" s="6" t="s">
        <v>1098</v>
      </c>
      <c r="B14" s="13" t="s">
        <v>26</v>
      </c>
      <c r="C14" s="13" t="s">
        <v>65</v>
      </c>
      <c r="D14" s="13" t="s">
        <v>26</v>
      </c>
      <c r="E14" s="13" t="s">
        <v>746</v>
      </c>
      <c r="F14" s="13" t="s">
        <v>107</v>
      </c>
      <c r="G14" s="6" t="s">
        <v>1099</v>
      </c>
    </row>
    <row r="15" spans="1:7" x14ac:dyDescent="0.25">
      <c r="A15" s="9" t="s">
        <v>1100</v>
      </c>
      <c r="B15" s="15" t="s">
        <v>26</v>
      </c>
      <c r="C15" s="15" t="s">
        <v>65</v>
      </c>
      <c r="D15" s="15" t="s">
        <v>26</v>
      </c>
      <c r="E15" s="15" t="s">
        <v>746</v>
      </c>
      <c r="F15" s="15" t="s">
        <v>64</v>
      </c>
      <c r="G15" s="9" t="s">
        <v>1101</v>
      </c>
    </row>
    <row r="16" spans="1:7" x14ac:dyDescent="0.25">
      <c r="A16" s="6"/>
      <c r="B16" s="6"/>
      <c r="C16" s="6"/>
      <c r="D16" s="6"/>
      <c r="E16" s="6"/>
      <c r="F16" s="6"/>
      <c r="G16" s="6"/>
    </row>
    <row r="17" spans="1:7" x14ac:dyDescent="0.25">
      <c r="A17" s="9"/>
      <c r="B17" s="9"/>
      <c r="C17" s="9"/>
      <c r="D17" s="9"/>
      <c r="E17" s="9"/>
      <c r="F17" s="9"/>
      <c r="G17" s="9"/>
    </row>
    <row r="18" spans="1:7" x14ac:dyDescent="0.25">
      <c r="A18" s="6"/>
      <c r="B18" s="6"/>
      <c r="C18" s="6"/>
      <c r="D18" s="6"/>
      <c r="E18" s="6"/>
      <c r="F18" s="6"/>
      <c r="G18" s="6"/>
    </row>
    <row r="19" spans="1:7" x14ac:dyDescent="0.25">
      <c r="A19" s="9"/>
      <c r="B19" s="9"/>
      <c r="C19" s="9"/>
      <c r="D19" s="9"/>
      <c r="E19" s="9"/>
      <c r="F19" s="9"/>
      <c r="G19" s="9"/>
    </row>
    <row r="20" spans="1:7" x14ac:dyDescent="0.25">
      <c r="A20" s="6"/>
      <c r="B20" s="6"/>
      <c r="C20" s="6"/>
      <c r="D20" s="6"/>
      <c r="E20" s="6"/>
      <c r="F20" s="6"/>
      <c r="G20" s="6"/>
    </row>
    <row r="21" spans="1:7" x14ac:dyDescent="0.25">
      <c r="A21" s="9"/>
      <c r="B21" s="9"/>
      <c r="C21" s="9"/>
      <c r="D21" s="9"/>
      <c r="E21" s="9"/>
      <c r="F21" s="9"/>
      <c r="G21" s="9"/>
    </row>
    <row r="22" spans="1:7" x14ac:dyDescent="0.25">
      <c r="A22" s="6"/>
      <c r="B22" s="6"/>
      <c r="C22" s="6"/>
      <c r="D22" s="6"/>
      <c r="E22" s="6"/>
      <c r="F22" s="6"/>
      <c r="G22" s="6"/>
    </row>
    <row r="23" spans="1:7" x14ac:dyDescent="0.25">
      <c r="A23" s="9"/>
      <c r="B23" s="9"/>
      <c r="C23" s="9"/>
      <c r="D23" s="9"/>
      <c r="E23" s="9"/>
      <c r="F23" s="9"/>
      <c r="G23" s="9"/>
    </row>
    <row r="24" spans="1:7" x14ac:dyDescent="0.25">
      <c r="A24" s="6"/>
      <c r="B24" s="6"/>
      <c r="C24" s="6"/>
      <c r="D24" s="6"/>
      <c r="E24" s="6"/>
      <c r="F24" s="6"/>
      <c r="G24" s="6"/>
    </row>
    <row r="25" spans="1:7" x14ac:dyDescent="0.25">
      <c r="A25" s="9"/>
      <c r="B25" s="9"/>
      <c r="C25" s="9"/>
      <c r="D25" s="9"/>
      <c r="E25" s="9"/>
      <c r="F25" s="9"/>
      <c r="G25" s="9"/>
    </row>
    <row r="26" spans="1:7" x14ac:dyDescent="0.25">
      <c r="A26" s="6"/>
      <c r="B26" s="6"/>
      <c r="C26" s="6"/>
      <c r="D26" s="6"/>
      <c r="E26" s="6"/>
      <c r="F26" s="6"/>
      <c r="G26" s="6"/>
    </row>
    <row r="27" spans="1:7" x14ac:dyDescent="0.25">
      <c r="A27" s="9"/>
      <c r="B27" s="9"/>
      <c r="C27" s="9"/>
      <c r="D27" s="9"/>
      <c r="E27" s="9"/>
      <c r="F27" s="9"/>
      <c r="G27" s="9"/>
    </row>
    <row r="28" spans="1:7" x14ac:dyDescent="0.25">
      <c r="A28" s="6"/>
      <c r="B28" s="6"/>
      <c r="C28" s="6"/>
      <c r="D28" s="6"/>
      <c r="E28" s="6"/>
      <c r="F28" s="6"/>
      <c r="G28" s="6"/>
    </row>
    <row r="29" spans="1:7" x14ac:dyDescent="0.25">
      <c r="A29" s="9"/>
      <c r="B29" s="9"/>
      <c r="C29" s="9"/>
      <c r="D29" s="9"/>
      <c r="E29" s="9"/>
      <c r="F29" s="9"/>
      <c r="G29" s="9"/>
    </row>
    <row r="30" spans="1:7" x14ac:dyDescent="0.25">
      <c r="A30" s="6"/>
      <c r="B30" s="6"/>
      <c r="C30" s="6"/>
      <c r="D30" s="6"/>
      <c r="E30" s="6"/>
      <c r="F30" s="6"/>
      <c r="G30" s="6"/>
    </row>
  </sheetData>
  <autoFilter ref="A2:G15"/>
  <mergeCells count="1">
    <mergeCell ref="A1:G1"/>
  </mergeCells>
  <conditionalFormatting sqref="C3:C15">
    <cfRule type="cellIs" dxfId="191" priority="1" operator="equal">
      <formula>"Completed"</formula>
    </cfRule>
    <cfRule type="cellIs" dxfId="192" priority="2" operator="equal">
      <formula>"In Progress"</formula>
    </cfRule>
    <cfRule type="cellIs" dxfId="193" priority="3" operator="equal">
      <formula>"Review"</formula>
    </cfRule>
    <cfRule type="cellIs" dxfId="194" priority="4" operator="equal">
      <formula>"Blocked"</formula>
    </cfRule>
    <cfRule type="cellIs" dxfId="195" priority="5" operator="equal">
      <formula>"Not Started"</formula>
    </cfRule>
  </conditionalFormatting>
  <conditionalFormatting sqref="F3:F15">
    <cfRule type="cellIs" dxfId="196" priority="6" operator="equal">
      <formula>"Critical"</formula>
    </cfRule>
    <cfRule type="cellIs" dxfId="197" priority="7" operator="equal">
      <formula>"High"</formula>
    </cfRule>
    <cfRule type="cellIs" dxfId="198" priority="8" operator="equal">
      <formula>"Medium"</formula>
    </cfRule>
    <cfRule type="cellIs" dxfId="199" priority="9" operator="equal">
      <formula>"Low"</formula>
    </cfRule>
  </conditionalFormatting>
  <dataValidations count="4">
    <dataValidation type="list" allowBlank="1" sqref="C10:C30">
      <formula1>"Not Started,In Progress,Passed,Failed,Blocked"</formula1>
    </dataValidation>
    <dataValidation type="list" allowBlank="1" sqref="C3:C30">
      <formula1>"Not Started,In Progress,Passed,Failed,Blocked"</formula1>
    </dataValidation>
    <dataValidation type="list" allowBlank="1" sqref="F10:F30">
      <formula1>"Critical,High,Medium,Low"</formula1>
    </dataValidation>
    <dataValidation type="list" allowBlank="1" sqref="F3:F30">
      <formula1>"Critical,High,Medium,Low"</formula1>
    </dataValidation>
  </dataValidation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6" width="40" customWidth="1"/>
  </cols>
  <sheetData>
    <row r="1" ht="30" customHeight="1" spans="1:6" x14ac:dyDescent="0.25">
      <c r="A1" s="1" t="s">
        <v>1102</v>
      </c>
      <c r="B1" s="1"/>
      <c r="C1" s="1"/>
      <c r="D1" s="1"/>
      <c r="E1" s="1"/>
      <c r="F1" s="1"/>
    </row>
    <row r="2" spans="1:6" x14ac:dyDescent="0.25"/>
    <row r="3" ht="20" customHeight="1" spans="1:6" x14ac:dyDescent="0.25">
      <c r="A3" s="41" t="s">
        <v>1103</v>
      </c>
      <c r="B3" s="42"/>
      <c r="C3" s="42"/>
      <c r="D3" s="42"/>
      <c r="E3" s="42"/>
      <c r="F3" s="42"/>
    </row>
    <row r="4" ht="36" customHeight="1" spans="1:6" x14ac:dyDescent="0.25">
      <c r="A4" s="43" t="s">
        <v>1104</v>
      </c>
      <c r="B4" s="43"/>
      <c r="C4" s="43"/>
      <c r="D4" s="43"/>
      <c r="E4" s="43"/>
      <c r="F4" s="43"/>
    </row>
    <row r="5" ht="20" customHeight="1" spans="1:6" x14ac:dyDescent="0.25">
      <c r="A5" s="41" t="s">
        <v>1105</v>
      </c>
      <c r="B5" s="42"/>
      <c r="C5" s="42"/>
      <c r="D5" s="42"/>
      <c r="E5" s="42"/>
      <c r="F5" s="42"/>
    </row>
    <row r="6" ht="36" customHeight="1" spans="1:6" x14ac:dyDescent="0.25">
      <c r="A6" s="43" t="s">
        <v>1106</v>
      </c>
      <c r="B6" s="43"/>
      <c r="C6" s="43"/>
      <c r="D6" s="43"/>
      <c r="E6" s="43"/>
      <c r="F6" s="43"/>
    </row>
    <row r="7" ht="20" customHeight="1" spans="1:6" x14ac:dyDescent="0.25">
      <c r="A7" s="41" t="s">
        <v>1107</v>
      </c>
      <c r="B7" s="42"/>
      <c r="C7" s="42"/>
      <c r="D7" s="42"/>
      <c r="E7" s="42"/>
      <c r="F7" s="42"/>
    </row>
    <row r="8" ht="36" customHeight="1" spans="1:6" x14ac:dyDescent="0.25">
      <c r="A8" s="43" t="s">
        <v>1108</v>
      </c>
      <c r="B8" s="43"/>
      <c r="C8" s="43"/>
      <c r="D8" s="43"/>
      <c r="E8" s="43"/>
      <c r="F8" s="43"/>
    </row>
    <row r="9" ht="20" customHeight="1" spans="1:6" x14ac:dyDescent="0.25">
      <c r="A9" s="41" t="s">
        <v>1109</v>
      </c>
      <c r="B9" s="42"/>
      <c r="C9" s="42"/>
      <c r="D9" s="42"/>
      <c r="E9" s="42"/>
      <c r="F9" s="42"/>
    </row>
    <row r="10" ht="36" customHeight="1" spans="1:6" x14ac:dyDescent="0.25">
      <c r="A10" s="43" t="s">
        <v>1110</v>
      </c>
      <c r="B10" s="43"/>
      <c r="C10" s="43"/>
      <c r="D10" s="43"/>
      <c r="E10" s="43"/>
      <c r="F10" s="43"/>
    </row>
    <row r="11" ht="20" customHeight="1" spans="1:6" x14ac:dyDescent="0.25">
      <c r="A11" s="41" t="s">
        <v>1111</v>
      </c>
      <c r="B11" s="42"/>
      <c r="C11" s="42"/>
      <c r="D11" s="42"/>
      <c r="E11" s="42"/>
      <c r="F11" s="42"/>
    </row>
    <row r="12" ht="36" customHeight="1" spans="1:6" x14ac:dyDescent="0.25">
      <c r="A12" s="43" t="s">
        <v>1112</v>
      </c>
      <c r="B12" s="43"/>
      <c r="C12" s="43"/>
      <c r="D12" s="43"/>
      <c r="E12" s="43"/>
      <c r="F12" s="43"/>
    </row>
    <row r="13" ht="20" customHeight="1" spans="1:6" x14ac:dyDescent="0.25">
      <c r="A13" s="41" t="s">
        <v>1113</v>
      </c>
      <c r="B13" s="42"/>
      <c r="C13" s="42"/>
      <c r="D13" s="42"/>
      <c r="E13" s="42"/>
      <c r="F13" s="42"/>
    </row>
    <row r="14" ht="36" customHeight="1" spans="1:6" x14ac:dyDescent="0.25">
      <c r="A14" s="43" t="s">
        <v>1114</v>
      </c>
      <c r="B14" s="43"/>
      <c r="C14" s="43"/>
      <c r="D14" s="43"/>
      <c r="E14" s="43"/>
      <c r="F14" s="43"/>
    </row>
    <row r="15" ht="20" customHeight="1" spans="1:6" x14ac:dyDescent="0.25">
      <c r="A15" s="41" t="s">
        <v>1115</v>
      </c>
      <c r="B15" s="42"/>
      <c r="C15" s="42"/>
      <c r="D15" s="42"/>
      <c r="E15" s="42"/>
      <c r="F15" s="42"/>
    </row>
    <row r="16" ht="36" customHeight="1" spans="1:6" x14ac:dyDescent="0.25">
      <c r="A16" s="43" t="s">
        <v>1116</v>
      </c>
      <c r="B16" s="43"/>
      <c r="C16" s="43"/>
      <c r="D16" s="43"/>
      <c r="E16" s="43"/>
      <c r="F16" s="43"/>
    </row>
    <row r="17" ht="20" customHeight="1" spans="1:6" x14ac:dyDescent="0.25">
      <c r="A17" s="41" t="s">
        <v>1117</v>
      </c>
      <c r="B17" s="42"/>
      <c r="C17" s="42"/>
      <c r="D17" s="42"/>
      <c r="E17" s="42"/>
      <c r="F17" s="42"/>
    </row>
    <row r="18" ht="36" customHeight="1" spans="1:6" x14ac:dyDescent="0.25">
      <c r="A18" s="43" t="s">
        <v>1118</v>
      </c>
      <c r="B18" s="43"/>
      <c r="C18" s="43"/>
      <c r="D18" s="43"/>
      <c r="E18" s="43"/>
      <c r="F18" s="43"/>
    </row>
  </sheetData>
  <mergeCells count="9">
    <mergeCell ref="A1:F1"/>
    <mergeCell ref="A4:F4"/>
    <mergeCell ref="A6:F6"/>
    <mergeCell ref="A8:F8"/>
    <mergeCell ref="A10:F10"/>
    <mergeCell ref="A12:F12"/>
    <mergeCell ref="A14:F14"/>
    <mergeCell ref="A16:F16"/>
    <mergeCell ref="A18:F18"/>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FormatPr defaultRowHeight="15" outlineLevelRow="0" outlineLevelCol="0" x14ac:dyDescent="55"/>
  <cols>
    <col min="1" max="3" width="40" customWidth="1"/>
  </cols>
  <sheetData>
    <row r="1" ht="30" customHeight="1" spans="1:3" x14ac:dyDescent="0.25">
      <c r="A1" s="1" t="s">
        <v>1119</v>
      </c>
      <c r="B1" s="1"/>
      <c r="C1" s="1"/>
    </row>
    <row r="2" spans="1:3" x14ac:dyDescent="0.25"/>
    <row r="3" ht="24" customHeight="1" spans="1:3" x14ac:dyDescent="0.25">
      <c r="A3" s="44" t="s">
        <v>1120</v>
      </c>
      <c r="B3" s="44"/>
      <c r="C3" s="44"/>
    </row>
    <row r="4" ht="28" customHeight="1" spans="1:3" x14ac:dyDescent="0.25">
      <c r="A4" s="12" t="s">
        <v>1121</v>
      </c>
      <c r="B4" s="12" t="s">
        <v>1122</v>
      </c>
      <c r="C4" s="12" t="s">
        <v>1123</v>
      </c>
    </row>
    <row r="5" ht="20" customHeight="1" spans="1:3" x14ac:dyDescent="0.25">
      <c r="A5" s="9" t="s">
        <v>1124</v>
      </c>
      <c r="B5" s="15" t="s">
        <v>1125</v>
      </c>
      <c r="C5" s="9" t="s">
        <v>1126</v>
      </c>
    </row>
    <row r="6" ht="20" customHeight="1" spans="1:3" x14ac:dyDescent="0.25">
      <c r="A6" s="6" t="s">
        <v>1127</v>
      </c>
      <c r="B6" s="13" t="s">
        <v>1128</v>
      </c>
      <c r="C6" s="6" t="s">
        <v>1129</v>
      </c>
    </row>
    <row r="7" ht="20" customHeight="1" spans="1:3" x14ac:dyDescent="0.25">
      <c r="A7" s="9" t="s">
        <v>1130</v>
      </c>
      <c r="B7" s="15" t="s">
        <v>1131</v>
      </c>
      <c r="C7" s="9" t="s">
        <v>1132</v>
      </c>
    </row>
    <row r="8" ht="20" customHeight="1" spans="1:3" x14ac:dyDescent="0.25">
      <c r="A8" s="6" t="s">
        <v>1133</v>
      </c>
      <c r="B8" s="13" t="s">
        <v>1134</v>
      </c>
      <c r="C8" s="6" t="s">
        <v>1135</v>
      </c>
    </row>
    <row r="9" ht="20" customHeight="1" spans="1:3" x14ac:dyDescent="0.25">
      <c r="A9" s="9" t="s">
        <v>1136</v>
      </c>
      <c r="B9" s="15" t="s">
        <v>1137</v>
      </c>
      <c r="C9" s="9" t="s">
        <v>1138</v>
      </c>
    </row>
    <row r="10" ht="20" customHeight="1" spans="1:3" x14ac:dyDescent="0.25">
      <c r="A10" s="6" t="s">
        <v>1139</v>
      </c>
      <c r="B10" s="13" t="s">
        <v>1140</v>
      </c>
      <c r="C10" s="6" t="s">
        <v>1141</v>
      </c>
    </row>
    <row r="11" ht="20" customHeight="1" spans="1:3" x14ac:dyDescent="0.25">
      <c r="A11" s="9" t="s">
        <v>1142</v>
      </c>
      <c r="B11" s="15" t="s">
        <v>66</v>
      </c>
      <c r="C11" s="9" t="s">
        <v>1143</v>
      </c>
    </row>
    <row r="12" spans="1:3" x14ac:dyDescent="0.25"/>
    <row r="13" ht="24" customHeight="1" spans="1:3" x14ac:dyDescent="0.25">
      <c r="A13" s="44" t="s">
        <v>1144</v>
      </c>
      <c r="B13" s="44"/>
      <c r="C13" s="44"/>
    </row>
    <row r="14" ht="28" customHeight="1" spans="1:3" x14ac:dyDescent="0.25">
      <c r="A14" s="12" t="s">
        <v>1145</v>
      </c>
      <c r="B14" s="12" t="s">
        <v>1146</v>
      </c>
      <c r="C14" s="12" t="s">
        <v>1147</v>
      </c>
    </row>
    <row r="15" ht="20" customHeight="1" spans="1:3" x14ac:dyDescent="0.25">
      <c r="A15" s="9" t="s">
        <v>1148</v>
      </c>
      <c r="B15" s="15" t="s">
        <v>1149</v>
      </c>
      <c r="C15" s="9" t="s">
        <v>1150</v>
      </c>
    </row>
    <row r="16" ht="20" customHeight="1" spans="1:3" x14ac:dyDescent="0.25">
      <c r="A16" s="6" t="s">
        <v>1151</v>
      </c>
      <c r="B16" s="13" t="s">
        <v>1149</v>
      </c>
      <c r="C16" s="6" t="s">
        <v>1152</v>
      </c>
    </row>
    <row r="17" ht="20" customHeight="1" spans="1:3" x14ac:dyDescent="0.25">
      <c r="A17" s="9" t="s">
        <v>1153</v>
      </c>
      <c r="B17" s="15" t="s">
        <v>1149</v>
      </c>
      <c r="C17" s="9" t="s">
        <v>1154</v>
      </c>
    </row>
    <row r="18" ht="20" customHeight="1" spans="1:3" x14ac:dyDescent="0.25">
      <c r="A18" s="6" t="s">
        <v>1155</v>
      </c>
      <c r="B18" s="13" t="s">
        <v>1149</v>
      </c>
      <c r="C18" s="6" t="s">
        <v>1156</v>
      </c>
    </row>
    <row r="19" ht="20" customHeight="1" spans="1:3" x14ac:dyDescent="0.25">
      <c r="A19" s="9" t="s">
        <v>1157</v>
      </c>
      <c r="B19" s="15" t="s">
        <v>1149</v>
      </c>
      <c r="C19" s="9" t="s">
        <v>1158</v>
      </c>
    </row>
    <row r="20" ht="20" customHeight="1" spans="1:3" x14ac:dyDescent="0.25">
      <c r="A20" s="6" t="s">
        <v>1159</v>
      </c>
      <c r="B20" s="13" t="s">
        <v>1149</v>
      </c>
      <c r="C20" s="6" t="s">
        <v>1160</v>
      </c>
    </row>
    <row r="21" ht="20" customHeight="1" spans="1:3" x14ac:dyDescent="0.25">
      <c r="A21" s="9" t="s">
        <v>1161</v>
      </c>
      <c r="B21" s="15" t="s">
        <v>1149</v>
      </c>
      <c r="C21" s="9" t="s">
        <v>1162</v>
      </c>
    </row>
    <row r="22" spans="1:3" x14ac:dyDescent="0.25"/>
    <row r="23" ht="24" customHeight="1" spans="1:3" x14ac:dyDescent="0.25">
      <c r="A23" s="44" t="s">
        <v>1163</v>
      </c>
      <c r="B23" s="44"/>
      <c r="C23" s="44"/>
    </row>
    <row r="24" ht="28" customHeight="1" spans="1:3" x14ac:dyDescent="0.25">
      <c r="A24" s="12" t="s">
        <v>1164</v>
      </c>
      <c r="B24" s="12" t="s">
        <v>1165</v>
      </c>
      <c r="C24" s="12" t="s">
        <v>1166</v>
      </c>
    </row>
    <row r="25" ht="20" customHeight="1" spans="1:3" x14ac:dyDescent="0.25">
      <c r="A25" s="15" t="s">
        <v>1167</v>
      </c>
      <c r="B25" s="9" t="s">
        <v>1168</v>
      </c>
      <c r="C25" s="9" t="s">
        <v>1169</v>
      </c>
    </row>
    <row r="26" ht="20" customHeight="1" spans="1:3" x14ac:dyDescent="0.25">
      <c r="A26" s="13" t="s">
        <v>1170</v>
      </c>
      <c r="B26" s="6" t="s">
        <v>1171</v>
      </c>
      <c r="C26" s="6" t="s">
        <v>1172</v>
      </c>
    </row>
    <row r="27" ht="20" customHeight="1" spans="1:3" x14ac:dyDescent="0.25">
      <c r="A27" s="15" t="s">
        <v>1173</v>
      </c>
      <c r="B27" s="9" t="s">
        <v>1174</v>
      </c>
      <c r="C27" s="9" t="s">
        <v>1175</v>
      </c>
    </row>
    <row r="28" ht="20" customHeight="1" spans="1:3" x14ac:dyDescent="0.25">
      <c r="A28" s="13" t="s">
        <v>1176</v>
      </c>
      <c r="B28" s="6" t="s">
        <v>1177</v>
      </c>
      <c r="C28" s="6" t="s">
        <v>1178</v>
      </c>
    </row>
    <row r="29" ht="20" customHeight="1" spans="1:3" x14ac:dyDescent="0.25">
      <c r="A29" s="15" t="s">
        <v>1179</v>
      </c>
      <c r="B29" s="9" t="s">
        <v>1180</v>
      </c>
      <c r="C29" s="9" t="s">
        <v>1181</v>
      </c>
    </row>
  </sheetData>
  <mergeCells count="4">
    <mergeCell ref="A1:C1"/>
    <mergeCell ref="A3:C3"/>
    <mergeCell ref="A13:C13"/>
    <mergeCell ref="A23:C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Dashboard</vt:lpstr>
      <vt:lpstr>Kanban Board</vt:lpstr>
      <vt:lpstr>Sprint 0</vt:lpstr>
      <vt:lpstr>Day 1</vt:lpstr>
      <vt:lpstr>Day 2</vt:lpstr>
      <vt:lpstr>Day 3</vt:lpstr>
      <vt:lpstr>Day 4</vt:lpstr>
      <vt:lpstr>Day 5</vt:lpstr>
      <vt:lpstr>Day 6</vt:lpstr>
      <vt:lpstr>Day 7</vt:lpstr>
      <vt:lpstr>Backend Tasks</vt:lpstr>
      <vt:lpstr>Frontend Tasks</vt:lpstr>
      <vt:lpstr>Database Tasks</vt:lpstr>
      <vt:lpstr>AI Tasks</vt:lpstr>
      <vt:lpstr>Face Recognition Tasks</vt:lpstr>
      <vt:lpstr>Documentation &amp; QA Tasks</vt:lpstr>
      <vt:lpstr>Infrastructure Tasks</vt:lpstr>
      <vt:lpstr>Integration Tracker</vt:lpstr>
      <vt:lpstr>Bug Tracker</vt:lpstr>
      <vt:lpstr>Security Checklist</vt:lpstr>
      <vt:lpstr>Daily Standup</vt:lpstr>
      <vt:lpstr>Team Workload</vt:lpstr>
      <vt:lpstr>Dependency Tracker</vt:lpstr>
      <vt:lpstr>Deployment Checklist</vt:lpstr>
      <vt:lpstr>Risks &amp; Blockers</vt:lpstr>
      <vt:lpstr>Final Handover Checklist</vt:lpstr>
      <vt:lpstr>Daily Review Log</vt:lpstr>
      <vt:lpstr>Testing Tracker</vt:lpstr>
      <vt:lpstr>Security Review Tracker</vt:lpstr>
      <vt:lpstr>Team Usage Guide</vt:lpstr>
      <vt:lpstr>Google Sheets Migration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PMO Lead</dc:creator>
  <dc:title/>
  <dc:subject/>
  <dc:description/>
  <cp:keywords/>
  <cp:category/>
  <cp:lastModifiedBy>Enterprise PMO Lead</cp:lastModifiedBy>
  <dcterms:created xsi:type="dcterms:W3CDTF">2026-06-19T18:24:47Z</dcterms:created>
  <dcterms:modified xsi:type="dcterms:W3CDTF">2026-06-19T18:24:47Z</dcterms:modified>
</cp:coreProperties>
</file>